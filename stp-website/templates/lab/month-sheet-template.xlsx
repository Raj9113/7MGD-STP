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2000"/>
  </bookViews>
  <sheets>
    <sheet name="{{SHEET_NAME}}" sheetId="1" r:id="rId1"/>
  </sheets>
  <calcPr calcId="191029" fullCalcOnLoad="1"/>
</workbook>
</file>

<file path=xl/sharedStrings.xml><?xml version="1.0" encoding="utf-8"?>
<sst xmlns="http://schemas.openxmlformats.org/spreadsheetml/2006/main" count="5855" uniqueCount="92">
  <si>
    <t>Lab. Report September-2024</t>
  </si>
  <si>
    <t>Date</t>
  </si>
  <si>
    <t>Flow Details</t>
  </si>
  <si>
    <t>Tempereture</t>
  </si>
  <si>
    <t>pH</t>
  </si>
  <si>
    <t>BOD</t>
  </si>
  <si>
    <t>COD</t>
  </si>
  <si>
    <t>T.S.S</t>
  </si>
  <si>
    <t>PHO.</t>
  </si>
  <si>
    <t xml:space="preserve"> ALK.</t>
  </si>
  <si>
    <t>DO</t>
  </si>
  <si>
    <t>TN</t>
  </si>
  <si>
    <r>
      <t>NH</t>
    </r>
    <r>
      <rPr>
        <b/>
        <strike/>
        <vertAlign val="subscript"/>
        <sz val="14"/>
        <color theme="1"/>
        <rFont val="Calibri"/>
        <family val="2"/>
      </rPr>
      <t>4</t>
    </r>
    <r>
      <rPr>
        <b/>
        <sz val="14"/>
        <color theme="1"/>
        <rFont val="Calibri"/>
        <family val="2"/>
      </rPr>
      <t>-N</t>
    </r>
  </si>
  <si>
    <t>Pumping (MGD)</t>
  </si>
  <si>
    <t>Treated (MGD)</t>
  </si>
  <si>
    <r>
      <rPr>
        <b/>
        <sz val="14"/>
        <color rgb="FF1F2023"/>
        <rFont val="Arial"/>
        <family val="2"/>
      </rPr>
      <t>Inlet (°c)</t>
    </r>
  </si>
  <si>
    <r>
      <rPr>
        <b/>
        <sz val="14"/>
        <color rgb="FF1F2023"/>
        <rFont val="Arial"/>
        <family val="2"/>
      </rPr>
      <t>Outlet (°c)</t>
    </r>
  </si>
  <si>
    <t>Inlet</t>
  </si>
  <si>
    <t>Outlet</t>
  </si>
  <si>
    <t>NIL</t>
  </si>
  <si>
    <t>21..4</t>
  </si>
  <si>
    <t>Avg:-</t>
  </si>
  <si>
    <t>Chemist Sign</t>
  </si>
  <si>
    <t>Authorise Sign</t>
  </si>
  <si>
    <t xml:space="preserve">7 MGD BY IFAS TECH. STP SONIA VIHAR </t>
  </si>
  <si>
    <t>Lab. Report October-2024</t>
  </si>
  <si>
    <t>NH4-N</t>
  </si>
  <si>
    <t>Lab. Report November-2024</t>
  </si>
  <si>
    <t>Lab. Report December-2024</t>
  </si>
  <si>
    <t>Lab. Report JANUARY 2025</t>
  </si>
  <si>
    <t>Lab. Report FEBRUARY 2025</t>
  </si>
  <si>
    <t>Average:-</t>
  </si>
  <si>
    <t>Lab. Report MARCH 2025</t>
  </si>
  <si>
    <t>T. ALK.</t>
  </si>
  <si>
    <t>Lab. Report APRIL 2025</t>
  </si>
  <si>
    <t>Oil &amp; Greese</t>
  </si>
  <si>
    <t>Lab. Report MAY 2025</t>
  </si>
  <si>
    <t>-</t>
  </si>
  <si>
    <t xml:space="preserve">- </t>
  </si>
  <si>
    <t xml:space="preserve"> -</t>
  </si>
  <si>
    <t>7 MGD BY IFAS TECH. STP SONIA VIHAR</t>
  </si>
  <si>
    <t>Lab. Report JUNE 2025</t>
  </si>
  <si>
    <t>Lab. Report July-2025</t>
  </si>
  <si>
    <t>:</t>
  </si>
  <si>
    <t>Nil</t>
  </si>
  <si>
    <t>Lab. Report August-2025</t>
  </si>
  <si>
    <t>Lab. Report September-2025</t>
  </si>
  <si>
    <t xml:space="preserve">      Authorise Sign</t>
  </si>
  <si>
    <t>Lab. Report October-2025</t>
  </si>
  <si>
    <t>Lab. Report November-2025</t>
  </si>
  <si>
    <r>
      <rPr>
        <b/>
        <sz val="12"/>
        <color rgb="FF1F2023"/>
        <rFont val="Tahoma"/>
        <family val="2"/>
      </rPr>
      <t>Inlet (°c)</t>
    </r>
  </si>
  <si>
    <r>
      <rPr>
        <b/>
        <sz val="12"/>
        <color rgb="FF1F2023"/>
        <rFont val="Tahoma"/>
        <family val="2"/>
      </rPr>
      <t>Outlet (°c)</t>
    </r>
  </si>
  <si>
    <t>14..0</t>
  </si>
  <si>
    <t>--</t>
  </si>
  <si>
    <t>Lab. Report December-2025</t>
  </si>
  <si>
    <t>Lab. Report January-2026</t>
  </si>
  <si>
    <t>Temperature</t>
  </si>
  <si>
    <t>Lab. Report February-2026</t>
  </si>
  <si>
    <t xml:space="preserve">       -</t>
  </si>
  <si>
    <t>Lab. Report March-2026</t>
  </si>
  <si>
    <t xml:space="preserve">7uj </t>
  </si>
  <si>
    <t>Lab. Report April-2026</t>
  </si>
  <si>
    <t>Lab. Report May-2026</t>
  </si>
  <si>
    <t>7 MGD STP SONIA VIHAR</t>
  </si>
  <si>
    <t>Lab. Report June-2026</t>
  </si>
  <si>
    <t xml:space="preserve">      Authorised Sign</t>
  </si>
  <si>
    <t>Lab. Report July-2026</t>
  </si>
  <si>
    <t>30/7/2026</t>
  </si>
  <si>
    <t>31/7/2026</t>
  </si>
  <si>
    <t xml:space="preserve"> Authorised Sign</t>
  </si>
  <si>
    <t>Lab. Report Aug-2026</t>
  </si>
  <si>
    <t>Lab. Report Sep-2026</t>
  </si>
  <si>
    <t>Flow Detail</t>
  </si>
  <si>
    <t>7 MGD STP Sonia Vihar</t>
  </si>
  <si>
    <t>Capacity (MLD)</t>
  </si>
  <si>
    <t>: 31.948</t>
  </si>
  <si>
    <t>Date of Comissioning</t>
  </si>
  <si>
    <t>: 03-12-2024</t>
  </si>
  <si>
    <t>Technology Used</t>
  </si>
  <si>
    <t>: IFAS</t>
  </si>
  <si>
    <t>Present operational status</t>
  </si>
  <si>
    <t>: Running</t>
  </si>
  <si>
    <t>Actual utilization percentage</t>
  </si>
  <si>
    <t>: 100%</t>
  </si>
  <si>
    <t>FY/Date</t>
  </si>
  <si>
    <t>Total Sewage Generated (MLD)</t>
  </si>
  <si>
    <t>Total Sewage treatment Capacity</t>
  </si>
  <si>
    <t>Total Sewage actualy treated</t>
  </si>
  <si>
    <t>Total Untreated</t>
  </si>
  <si>
    <t>2024 - 25 (Dec-Mar)</t>
  </si>
  <si>
    <t>2025 - 26 (Apr-Mar)</t>
  </si>
  <si>
    <t>2026 - 27 (Apr-Aug)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</si>
</sst>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"/>
    <numFmt numFmtId="165" formatCode="0.0"/>
    <numFmt numFmtId="166" formatCode="0.000"/>
    <numFmt numFmtId="167" formatCode="d/m/yyyy"/>
    <numFmt numFmtId="168" formatCode="[$-14009]dd\-mm\-yyyy;@"/>
    <numFmt numFmtId="169" formatCode="0.0000"/>
  </numFmts>
  <fonts count="40">
    <font>
      <sz val="11"/>
      <color rgb="FF000000"/>
      <name val="Calibri"/>
      <scheme val="minor"/>
    </font>
    <font>
      <b/>
      <sz val="14"/>
      <color theme="1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b/>
      <sz val="14"/>
      <color theme="1"/>
      <name val="Arial"/>
      <family val="2"/>
    </font>
    <font>
      <sz val="12"/>
      <color rgb="FF000000"/>
      <name val="Calibri"/>
      <family val="2"/>
    </font>
    <font>
      <sz val="12"/>
      <color rgb="FF1F2023"/>
      <name val="Calibri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Times New Roman"/>
      <family val="1"/>
    </font>
    <font>
      <b/>
      <sz val="12"/>
      <color rgb="FF000000"/>
      <name val="Tahoma"/>
      <family val="2"/>
    </font>
    <font>
      <b/>
      <sz val="11"/>
      <color theme="1"/>
      <name val="Calibri"/>
      <family val="2"/>
    </font>
    <font>
      <sz val="13"/>
      <color rgb="FF000000"/>
      <name val="Tahoma"/>
      <family val="2"/>
    </font>
    <font>
      <sz val="14"/>
      <color rgb="FF000000"/>
      <name val="Tahoma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ahoma"/>
      <family val="2"/>
    </font>
    <font>
      <b/>
      <sz val="14"/>
      <color rgb="FF1F2023"/>
      <name val="Arial"/>
      <family val="2"/>
    </font>
    <font>
      <b/>
      <strike/>
      <vertAlign val="subscript"/>
      <sz val="14"/>
      <color theme="1"/>
      <name val="Calibri"/>
      <family val="2"/>
    </font>
    <font>
      <b/>
      <sz val="14"/>
      <color theme="1"/>
      <name val="Tahoma"/>
      <family val="2"/>
    </font>
    <font>
      <sz val="11"/>
      <name val="Tahoma"/>
      <family val="2"/>
    </font>
    <font>
      <sz val="11"/>
      <color rgb="FF000000"/>
      <name val="Tahoma"/>
      <family val="2"/>
    </font>
    <font>
      <sz val="11"/>
      <color theme="1"/>
      <name val="Tahoma"/>
      <family val="2"/>
    </font>
    <font>
      <sz val="12"/>
      <color rgb="FF000000"/>
      <name val="Tahoma"/>
      <family val="2"/>
    </font>
    <font>
      <sz val="12"/>
      <color theme="1"/>
      <name val="Tahoma"/>
      <family val="2"/>
    </font>
    <font>
      <sz val="12"/>
      <color rgb="FF1F2023"/>
      <name val="Tahoma"/>
      <family val="2"/>
    </font>
    <font>
      <b/>
      <sz val="12"/>
      <color theme="1"/>
      <name val="Tahoma"/>
      <family val="2"/>
    </font>
    <font>
      <b/>
      <sz val="12"/>
      <color rgb="FF1F2023"/>
      <name val="Tahoma"/>
      <family val="2"/>
    </font>
    <font>
      <b/>
      <sz val="36"/>
      <color theme="1"/>
      <name val="Tahoma"/>
      <family val="2"/>
    </font>
    <font>
      <sz val="36"/>
      <name val="Tahoma"/>
      <family val="2"/>
    </font>
    <font>
      <b/>
      <sz val="14"/>
      <color rgb="FF000000"/>
      <name val="Tahoma"/>
      <family val="2"/>
    </font>
    <font>
      <b/>
      <sz val="36"/>
      <name val="Tahoma"/>
      <family val="2"/>
    </font>
    <font>
      <b/>
      <sz val="14"/>
      <color rgb="FF000000"/>
      <name val="Calibri"/>
      <family val="2"/>
    </font>
    <font>
      <sz val="11"/>
      <color rgb="FF000000"/>
      <name val="Tahoma"/>
    </font>
    <font>
      <b/>
      <sz val="11"/>
      <color rgb="FF000000"/>
      <name val="Tahoma"/>
    </font>
    <font>
      <b/>
      <sz val="20"/>
      <color rgb="FF000000"/>
      <name val="Tahoma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right" vertical="center" shrinkToFi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shrinkToFit="1"/>
    </xf>
    <xf numFmtId="1" fontId="6" fillId="0" borderId="6" xfId="0" applyNumberFormat="1" applyFont="1" applyBorder="1" applyAlignment="1">
      <alignment horizontal="center" vertical="center" shrinkToFit="1"/>
    </xf>
    <xf numFmtId="2" fontId="6" fillId="0" borderId="6" xfId="0" applyNumberFormat="1" applyFont="1" applyBorder="1" applyAlignment="1">
      <alignment horizontal="center" vertical="center" shrinkToFit="1"/>
    </xf>
    <xf numFmtId="0" fontId="10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5" fontId="5" fillId="0" borderId="6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 shrinkToFit="1"/>
    </xf>
    <xf numFmtId="0" fontId="11" fillId="0" borderId="0" xfId="0" applyFont="1" applyAlignment="1">
      <alignment vertical="center"/>
    </xf>
    <xf numFmtId="165" fontId="5" fillId="0" borderId="6" xfId="0" applyNumberFormat="1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12" fillId="0" borderId="6" xfId="0" applyFont="1" applyBorder="1" applyAlignment="1">
      <alignment horizontal="center" vertical="center"/>
    </xf>
    <xf numFmtId="165" fontId="12" fillId="0" borderId="6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right" vertical="center" shrinkToFit="1"/>
    </xf>
    <xf numFmtId="2" fontId="5" fillId="0" borderId="19" xfId="0" applyNumberFormat="1" applyFont="1" applyBorder="1" applyAlignment="1">
      <alignment horizontal="center" vertical="center" shrinkToFit="1"/>
    </xf>
    <xf numFmtId="2" fontId="5" fillId="0" borderId="20" xfId="0" applyNumberFormat="1" applyFont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16" xfId="0" applyFont="1" applyBorder="1" applyAlignment="1">
      <alignment vertical="center"/>
    </xf>
    <xf numFmtId="0" fontId="1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167" fontId="5" fillId="0" borderId="6" xfId="0" applyNumberFormat="1" applyFont="1" applyBorder="1" applyAlignment="1">
      <alignment horizontal="center" vertical="center" shrinkToFit="1"/>
    </xf>
    <xf numFmtId="167" fontId="5" fillId="0" borderId="16" xfId="0" applyNumberFormat="1" applyFont="1" applyBorder="1" applyAlignment="1">
      <alignment horizontal="center" vertical="center" shrinkToFit="1"/>
    </xf>
    <xf numFmtId="166" fontId="5" fillId="0" borderId="6" xfId="0" applyNumberFormat="1" applyFont="1" applyBorder="1" applyAlignment="1">
      <alignment horizontal="center" vertical="center" shrinkToFit="1"/>
    </xf>
    <xf numFmtId="166" fontId="6" fillId="0" borderId="6" xfId="0" applyNumberFormat="1" applyFont="1" applyBorder="1" applyAlignment="1">
      <alignment horizontal="center" vertical="center" shrinkToFit="1"/>
    </xf>
    <xf numFmtId="166" fontId="5" fillId="0" borderId="6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2" fontId="6" fillId="0" borderId="19" xfId="0" applyNumberFormat="1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right" vertical="center" shrinkToFit="1"/>
    </xf>
    <xf numFmtId="166" fontId="5" fillId="0" borderId="17" xfId="0" applyNumberFormat="1" applyFont="1" applyBorder="1" applyAlignment="1">
      <alignment horizontal="center" vertical="center" shrinkToFit="1"/>
    </xf>
    <xf numFmtId="166" fontId="6" fillId="0" borderId="17" xfId="0" applyNumberFormat="1" applyFont="1" applyBorder="1" applyAlignment="1">
      <alignment horizontal="center" vertical="center" shrinkToFit="1"/>
    </xf>
    <xf numFmtId="166" fontId="5" fillId="0" borderId="17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6" fillId="0" borderId="16" xfId="0" applyFont="1" applyBorder="1" applyAlignment="1">
      <alignment horizontal="center" vertical="center"/>
    </xf>
    <xf numFmtId="165" fontId="28" fillId="0" borderId="6" xfId="0" applyNumberFormat="1" applyFont="1" applyBorder="1" applyAlignment="1">
      <alignment horizontal="center" vertical="center" wrapText="1"/>
    </xf>
    <xf numFmtId="166" fontId="29" fillId="0" borderId="6" xfId="0" applyNumberFormat="1" applyFont="1" applyBorder="1" applyAlignment="1">
      <alignment horizontal="center" vertical="center" shrinkToFit="1"/>
    </xf>
    <xf numFmtId="0" fontId="30" fillId="0" borderId="16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165" fontId="29" fillId="0" borderId="6" xfId="0" applyNumberFormat="1" applyFont="1" applyBorder="1" applyAlignment="1">
      <alignment horizontal="center" vertical="center" shrinkToFit="1"/>
    </xf>
    <xf numFmtId="165" fontId="28" fillId="0" borderId="6" xfId="0" applyNumberFormat="1" applyFont="1" applyBorder="1" applyAlignment="1">
      <alignment horizontal="center" vertical="center"/>
    </xf>
    <xf numFmtId="2" fontId="28" fillId="0" borderId="6" xfId="0" applyNumberFormat="1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9" fillId="0" borderId="6" xfId="0" applyFont="1" applyBorder="1" applyAlignment="1">
      <alignment horizontal="center" vertical="center" shrinkToFit="1"/>
    </xf>
    <xf numFmtId="0" fontId="30" fillId="0" borderId="6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2" fontId="29" fillId="0" borderId="6" xfId="0" applyNumberFormat="1" applyFont="1" applyBorder="1" applyAlignment="1">
      <alignment horizontal="center" vertical="center" shrinkToFit="1"/>
    </xf>
    <xf numFmtId="0" fontId="26" fillId="0" borderId="28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top" wrapText="1"/>
    </xf>
    <xf numFmtId="165" fontId="20" fillId="0" borderId="6" xfId="0" applyNumberFormat="1" applyFont="1" applyBorder="1" applyAlignment="1">
      <alignment horizontal="center" vertical="center" shrinkToFit="1"/>
    </xf>
    <xf numFmtId="165" fontId="20" fillId="0" borderId="30" xfId="0" applyNumberFormat="1" applyFont="1" applyBorder="1" applyAlignment="1">
      <alignment horizontal="center" vertical="center" shrinkToFit="1"/>
    </xf>
    <xf numFmtId="0" fontId="34" fillId="0" borderId="0" xfId="0" applyFont="1" applyAlignment="1">
      <alignment vertical="center"/>
    </xf>
    <xf numFmtId="167" fontId="20" fillId="0" borderId="16" xfId="0" applyNumberFormat="1" applyFont="1" applyBorder="1" applyAlignment="1">
      <alignment horizontal="center" vertical="center" shrinkToFit="1"/>
    </xf>
    <xf numFmtId="0" fontId="20" fillId="0" borderId="6" xfId="0" applyFont="1" applyBorder="1" applyAlignment="1">
      <alignment horizontal="center" vertical="center" shrinkToFit="1"/>
    </xf>
    <xf numFmtId="0" fontId="20" fillId="0" borderId="17" xfId="0" applyFont="1" applyBorder="1" applyAlignment="1">
      <alignment horizontal="center" vertical="center" shrinkToFit="1"/>
    </xf>
    <xf numFmtId="167" fontId="20" fillId="0" borderId="6" xfId="0" applyNumberFormat="1" applyFont="1" applyBorder="1" applyAlignment="1">
      <alignment horizontal="center" vertical="center" shrinkToFit="1"/>
    </xf>
    <xf numFmtId="0" fontId="20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165" fontId="20" fillId="0" borderId="6" xfId="0" applyNumberFormat="1" applyFont="1" applyBorder="1" applyAlignment="1">
      <alignment horizontal="center" vertical="center" wrapText="1"/>
    </xf>
    <xf numFmtId="165" fontId="20" fillId="0" borderId="6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right" vertical="center" shrinkToFit="1"/>
    </xf>
    <xf numFmtId="2" fontId="20" fillId="0" borderId="19" xfId="0" applyNumberFormat="1" applyFont="1" applyBorder="1" applyAlignment="1">
      <alignment horizontal="center" vertical="center" shrinkToFit="1"/>
    </xf>
    <xf numFmtId="0" fontId="20" fillId="0" borderId="19" xfId="0" applyFont="1" applyBorder="1" applyAlignment="1">
      <alignment horizontal="center" vertical="center" shrinkToFit="1"/>
    </xf>
    <xf numFmtId="0" fontId="20" fillId="0" borderId="20" xfId="0" applyFont="1" applyBorder="1" applyAlignment="1">
      <alignment horizontal="center" vertical="center" shrinkToFit="1"/>
    </xf>
    <xf numFmtId="2" fontId="20" fillId="0" borderId="20" xfId="0" applyNumberFormat="1" applyFont="1" applyBorder="1" applyAlignment="1">
      <alignment horizontal="center" vertical="center" shrinkToFit="1"/>
    </xf>
    <xf numFmtId="166" fontId="20" fillId="0" borderId="6" xfId="0" applyNumberFormat="1" applyFont="1" applyBorder="1" applyAlignment="1">
      <alignment horizontal="center" vertical="center" shrinkToFit="1"/>
    </xf>
    <xf numFmtId="1" fontId="20" fillId="0" borderId="6" xfId="0" applyNumberFormat="1" applyFont="1" applyBorder="1" applyAlignment="1">
      <alignment horizontal="center" vertical="center" wrapText="1"/>
    </xf>
    <xf numFmtId="1" fontId="20" fillId="0" borderId="6" xfId="0" applyNumberFormat="1" applyFont="1" applyBorder="1" applyAlignment="1">
      <alignment horizontal="center" vertical="center" shrinkToFit="1"/>
    </xf>
    <xf numFmtId="165" fontId="20" fillId="0" borderId="17" xfId="0" applyNumberFormat="1" applyFont="1" applyBorder="1" applyAlignment="1">
      <alignment horizontal="center" vertical="center" shrinkToFit="1"/>
    </xf>
    <xf numFmtId="1" fontId="20" fillId="0" borderId="6" xfId="0" applyNumberFormat="1" applyFont="1" applyBorder="1" applyAlignment="1">
      <alignment horizontal="center" vertical="center"/>
    </xf>
    <xf numFmtId="166" fontId="20" fillId="0" borderId="6" xfId="0" applyNumberFormat="1" applyFont="1" applyBorder="1" applyAlignment="1">
      <alignment horizontal="center" vertical="center" wrapText="1"/>
    </xf>
    <xf numFmtId="2" fontId="20" fillId="0" borderId="6" xfId="0" applyNumberFormat="1" applyFont="1" applyBorder="1" applyAlignment="1">
      <alignment horizontal="center" vertical="center" shrinkToFit="1"/>
    </xf>
    <xf numFmtId="166" fontId="20" fillId="0" borderId="19" xfId="0" applyNumberFormat="1" applyFont="1" applyBorder="1" applyAlignment="1">
      <alignment horizontal="center" vertical="center" shrinkToFit="1"/>
    </xf>
    <xf numFmtId="165" fontId="20" fillId="0" borderId="19" xfId="0" applyNumberFormat="1" applyFont="1" applyBorder="1" applyAlignment="1">
      <alignment horizontal="center" vertical="center" shrinkToFit="1"/>
    </xf>
    <xf numFmtId="1" fontId="20" fillId="0" borderId="19" xfId="0" applyNumberFormat="1" applyFont="1" applyBorder="1" applyAlignment="1">
      <alignment horizontal="center" vertical="center" shrinkToFit="1"/>
    </xf>
    <xf numFmtId="165" fontId="20" fillId="0" borderId="20" xfId="0" applyNumberFormat="1" applyFont="1" applyBorder="1" applyAlignment="1">
      <alignment horizontal="center" vertical="center" shrinkToFit="1"/>
    </xf>
    <xf numFmtId="167" fontId="20" fillId="0" borderId="29" xfId="0" applyNumberFormat="1" applyFont="1" applyBorder="1" applyAlignment="1">
      <alignment horizontal="center" vertical="center" shrinkToFit="1"/>
    </xf>
    <xf numFmtId="2" fontId="20" fillId="0" borderId="6" xfId="0" applyNumberFormat="1" applyFont="1" applyBorder="1" applyAlignment="1">
      <alignment horizontal="center" vertical="center" wrapText="1"/>
    </xf>
    <xf numFmtId="165" fontId="20" fillId="0" borderId="34" xfId="0" applyNumberFormat="1" applyFont="1" applyBorder="1" applyAlignment="1">
      <alignment horizontal="center" vertical="center" shrinkToFit="1"/>
    </xf>
    <xf numFmtId="2" fontId="20" fillId="0" borderId="1" xfId="0" applyNumberFormat="1" applyFont="1" applyBorder="1" applyAlignment="1">
      <alignment horizontal="center" vertical="center" shrinkToFit="1"/>
    </xf>
    <xf numFmtId="165" fontId="20" fillId="0" borderId="37" xfId="0" applyNumberFormat="1" applyFont="1" applyBorder="1" applyAlignment="1">
      <alignment horizontal="center" vertical="center" shrinkToFit="1"/>
    </xf>
    <xf numFmtId="165" fontId="20" fillId="0" borderId="1" xfId="0" applyNumberFormat="1" applyFont="1" applyBorder="1" applyAlignment="1">
      <alignment horizontal="center" vertical="center" shrinkToFit="1"/>
    </xf>
    <xf numFmtId="165" fontId="20" fillId="0" borderId="35" xfId="0" applyNumberFormat="1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right" vertical="center" shrinkToFit="1"/>
    </xf>
    <xf numFmtId="2" fontId="20" fillId="0" borderId="32" xfId="0" applyNumberFormat="1" applyFont="1" applyBorder="1" applyAlignment="1">
      <alignment horizontal="center" vertical="center" shrinkToFit="1"/>
    </xf>
    <xf numFmtId="165" fontId="20" fillId="0" borderId="32" xfId="0" applyNumberFormat="1" applyFont="1" applyBorder="1" applyAlignment="1">
      <alignment horizontal="center" vertical="center" shrinkToFit="1"/>
    </xf>
    <xf numFmtId="1" fontId="20" fillId="0" borderId="32" xfId="0" applyNumberFormat="1" applyFont="1" applyBorder="1" applyAlignment="1">
      <alignment horizontal="center" vertical="center" shrinkToFit="1"/>
    </xf>
    <xf numFmtId="165" fontId="20" fillId="0" borderId="33" xfId="0" applyNumberFormat="1" applyFont="1" applyBorder="1" applyAlignment="1">
      <alignment horizontal="center" vertical="center" shrinkToFit="1"/>
    </xf>
    <xf numFmtId="2" fontId="20" fillId="0" borderId="6" xfId="0" applyNumberFormat="1" applyFont="1" applyBorder="1" applyAlignment="1">
      <alignment horizontal="center" vertical="center"/>
    </xf>
    <xf numFmtId="167" fontId="20" fillId="0" borderId="29" xfId="0" applyNumberFormat="1" applyFont="1" applyBorder="1" applyAlignment="1">
      <alignment horizontal="left" vertical="center" shrinkToFit="1"/>
    </xf>
    <xf numFmtId="0" fontId="8" fillId="0" borderId="0" xfId="0" applyFont="1" applyAlignment="1">
      <alignment horizontal="center" vertical="center"/>
    </xf>
    <xf numFmtId="1" fontId="8" fillId="0" borderId="0" xfId="0" applyNumberFormat="1" applyFont="1" applyAlignment="1">
      <alignment vertical="center"/>
    </xf>
    <xf numFmtId="168" fontId="5" fillId="0" borderId="6" xfId="0" applyNumberFormat="1" applyFont="1" applyBorder="1" applyAlignment="1">
      <alignment horizontal="center" vertical="center" shrinkToFit="1"/>
    </xf>
    <xf numFmtId="168" fontId="5" fillId="0" borderId="16" xfId="0" applyNumberFormat="1" applyFont="1" applyBorder="1" applyAlignment="1">
      <alignment horizontal="center" vertical="center" shrinkToFit="1"/>
    </xf>
    <xf numFmtId="168" fontId="5" fillId="0" borderId="5" xfId="0" applyNumberFormat="1" applyFont="1" applyBorder="1" applyAlignment="1">
      <alignment horizontal="center" vertical="center" shrinkToFit="1"/>
    </xf>
    <xf numFmtId="166" fontId="5" fillId="0" borderId="5" xfId="0" applyNumberFormat="1" applyFont="1" applyBorder="1" applyAlignment="1">
      <alignment horizontal="center" vertical="center" shrinkToFi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168" fontId="5" fillId="0" borderId="0" xfId="0" applyNumberFormat="1" applyFont="1" applyBorder="1" applyAlignment="1">
      <alignment horizontal="center" vertical="center" shrinkToFit="1"/>
    </xf>
    <xf numFmtId="168" fontId="5" fillId="0" borderId="38" xfId="0" applyNumberFormat="1" applyFont="1" applyBorder="1" applyAlignment="1">
      <alignment horizontal="center" vertical="center" shrinkToFit="1"/>
    </xf>
    <xf numFmtId="166" fontId="5" fillId="0" borderId="39" xfId="0" applyNumberFormat="1" applyFont="1" applyBorder="1" applyAlignment="1">
      <alignment horizontal="center" vertical="center" shrinkToFit="1"/>
    </xf>
    <xf numFmtId="168" fontId="36" fillId="0" borderId="19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168" fontId="37" fillId="0" borderId="0" xfId="0" applyNumberFormat="1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9" fontId="37" fillId="0" borderId="0" xfId="0" applyNumberFormat="1" applyFont="1" applyAlignment="1">
      <alignment horizontal="left" vertical="center"/>
    </xf>
    <xf numFmtId="2" fontId="37" fillId="0" borderId="0" xfId="0" applyNumberFormat="1" applyFont="1" applyAlignment="1">
      <alignment vertical="center"/>
    </xf>
    <xf numFmtId="0" fontId="38" fillId="0" borderId="6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 wrapText="1"/>
    </xf>
    <xf numFmtId="2" fontId="37" fillId="0" borderId="6" xfId="0" applyNumberFormat="1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7" fillId="0" borderId="6" xfId="0" applyFont="1" applyBorder="1" applyAlignment="1">
      <alignment horizontal="center" vertical="center"/>
    </xf>
    <xf numFmtId="166" fontId="20" fillId="0" borderId="6" xfId="0" applyNumberFormat="1" applyFont="1" applyBorder="1" applyAlignment="1">
      <alignment horizontal="center" vertical="center"/>
    </xf>
    <xf numFmtId="2" fontId="20" fillId="0" borderId="4" xfId="0" applyNumberFormat="1" applyFont="1" applyBorder="1" applyAlignment="1">
      <alignment horizontal="center" vertical="center" shrinkToFit="1"/>
    </xf>
    <xf numFmtId="165" fontId="20" fillId="0" borderId="4" xfId="0" applyNumberFormat="1" applyFont="1" applyBorder="1" applyAlignment="1">
      <alignment horizontal="center" vertical="center" shrinkToFit="1"/>
    </xf>
    <xf numFmtId="1" fontId="20" fillId="0" borderId="4" xfId="0" applyNumberFormat="1" applyFont="1" applyBorder="1" applyAlignment="1">
      <alignment horizontal="center" vertical="center" shrinkToFit="1"/>
    </xf>
    <xf numFmtId="1" fontId="20" fillId="0" borderId="4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shrinkToFit="1"/>
    </xf>
    <xf numFmtId="2" fontId="20" fillId="0" borderId="43" xfId="0" applyNumberFormat="1" applyFont="1" applyBorder="1" applyAlignment="1">
      <alignment horizontal="center" vertical="center" shrinkToFit="1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23" fillId="0" borderId="21" xfId="0" applyFont="1" applyBorder="1" applyAlignment="1">
      <alignment horizontal="center" vertical="center" wrapText="1"/>
    </xf>
    <xf numFmtId="0" fontId="24" fillId="0" borderId="7" xfId="0" applyFont="1" applyBorder="1" applyAlignment="1">
      <alignment vertical="center"/>
    </xf>
    <xf numFmtId="0" fontId="23" fillId="0" borderId="21" xfId="0" applyFon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32" fillId="0" borderId="24" xfId="0" applyFont="1" applyBorder="1" applyAlignment="1">
      <alignment horizontal="center" vertical="center" wrapText="1"/>
    </xf>
    <xf numFmtId="0" fontId="33" fillId="0" borderId="23" xfId="0" applyFont="1" applyBorder="1" applyAlignment="1">
      <alignment vertical="center"/>
    </xf>
    <xf numFmtId="0" fontId="33" fillId="0" borderId="25" xfId="0" applyFont="1" applyBorder="1" applyAlignment="1">
      <alignment vertical="center"/>
    </xf>
    <xf numFmtId="0" fontId="23" fillId="0" borderId="26" xfId="0" applyFont="1" applyBorder="1" applyAlignment="1">
      <alignment horizontal="center" vertical="center" wrapText="1"/>
    </xf>
    <xf numFmtId="0" fontId="24" fillId="0" borderId="22" xfId="0" applyFont="1" applyBorder="1" applyAlignment="1">
      <alignment vertical="center"/>
    </xf>
    <xf numFmtId="0" fontId="24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vertical="center"/>
    </xf>
    <xf numFmtId="0" fontId="23" fillId="0" borderId="1" xfId="0" applyFont="1" applyBorder="1" applyAlignment="1">
      <alignment horizontal="center" vertical="center" wrapText="1"/>
    </xf>
    <xf numFmtId="0" fontId="24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3" fillId="0" borderId="11" xfId="0" applyFont="1" applyBorder="1" applyAlignment="1">
      <alignment horizontal="center" vertical="center" wrapText="1"/>
    </xf>
    <xf numFmtId="0" fontId="24" fillId="0" borderId="12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3" fillId="0" borderId="14" xfId="0" applyFont="1" applyBorder="1" applyAlignment="1">
      <alignment horizontal="center" vertical="center" wrapText="1"/>
    </xf>
    <xf numFmtId="0" fontId="24" fillId="0" borderId="2" xfId="0" applyFont="1" applyBorder="1" applyAlignment="1">
      <alignment vertical="center"/>
    </xf>
    <xf numFmtId="0" fontId="24" fillId="0" borderId="15" xfId="0" applyFont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5" fillId="0" borderId="23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4" fillId="0" borderId="0" xfId="0" applyFont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169" fontId="20" fillId="0" borderId="6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111405</xdr:colOff>
      <xdr:row>0</xdr:row>
      <xdr:rowOff>90282</xdr:rowOff>
    </xdr:from>
    <xdr:to>
      <xdr:col>1</xdr:col>
      <xdr:colOff>311430</xdr:colOff>
      <xdr:row>0</xdr:row>
      <xdr:rowOff>604154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CCD59C-EA0D-46CD-8EF5-46FA294BC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05" y="90282"/>
          <a:ext cx="1044851" cy="513872"/>
        </a:xfrm>
        <a:prstGeom prst="rect">
          <a:avLst/>
        </a:prstGeom>
      </xdr:spPr>
    </xdr:pic>
    <xdr:clientData/>
  </xdr:twoCellAnchor>
  <xdr:twoCellAnchor editAs="oneCell">
    <xdr:from>
      <xdr:col>24</xdr:col>
      <xdr:colOff>61299</xdr:colOff>
      <xdr:row>0</xdr:row>
      <xdr:rowOff>46383</xdr:rowOff>
    </xdr:from>
    <xdr:to>
      <xdr:col>24</xdr:col>
      <xdr:colOff>665161</xdr:colOff>
      <xdr:row>0</xdr:row>
      <xdr:rowOff>647760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4F32B1-9AF2-42D8-8551-81542121C7F3}"/>
            </a:ext>
            <a:ext uri="{147F2762-F138-4A5C-976F-8EAC2B608ADB}">
              <a16:predDERef xmlns:a16="http://schemas.microsoft.com/office/drawing/2014/main" pred="{6FCCD59C-EA0D-46CD-8EF5-46FA294BC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2756" y="46383"/>
          <a:ext cx="603862" cy="601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0A7E2-ED58-4057-8030-B818D591C06C}">
  <sheetPr>
    <outlinePr summaryBelow="0" summaryRight="0"/>
    <pageSetUpPr fitToPage="1"/>
  </sheetPr>
  <dimension ref="A1:AD43"/>
  <sheetViews>
    <sheetView zoomScale="115" zoomScaleNormal="115" workbookViewId="0">
      <pane ySplit="4" topLeftCell="A15" activePane="bottomLeft" state="frozen"/>
      <selection pane="bottomLeft" activeCell="U11" sqref="U11"/>
    </sheetView>
  </sheetViews>
  <sheetFormatPr defaultColWidth="14.42578125" defaultRowHeight="15" customHeight="1"/>
  <cols>
    <col min="1" max="1" width="12.7109375" style="65" customWidth="1"/>
    <col min="2" max="3" width="11.42578125" style="65" customWidth="1"/>
    <col min="4" max="4" width="7.5703125" style="65" bestFit="1" customWidth="1"/>
    <col min="5" max="5" width="10.85546875" style="65" customWidth="1"/>
    <col min="6" max="6" width="6.85546875" style="65" bestFit="1" customWidth="1"/>
    <col min="7" max="7" width="8.5703125" style="65" bestFit="1" customWidth="1"/>
    <col min="8" max="8" width="7.7109375" style="65" bestFit="1" customWidth="1"/>
    <col min="9" max="9" width="8.5703125" style="65" bestFit="1" customWidth="1"/>
    <col min="10" max="10" width="6.85546875" style="65" bestFit="1" customWidth="1"/>
    <col min="11" max="11" width="8.5703125" style="65" bestFit="1" customWidth="1"/>
    <col min="12" max="12" width="6.85546875" style="65" bestFit="1" customWidth="1"/>
    <col min="13" max="13" width="8.5703125" style="65" bestFit="1" customWidth="1"/>
    <col min="14" max="14" width="6.85546875" style="65" bestFit="1" customWidth="1"/>
    <col min="15" max="15" width="8.5703125" style="65" bestFit="1" customWidth="1"/>
    <col min="16" max="16" width="7.140625" style="65" bestFit="1" customWidth="1"/>
    <col min="17" max="17" width="8.5703125" style="65" bestFit="1" customWidth="1"/>
    <col min="18" max="18" width="9.5703125" style="65" bestFit="1" customWidth="1"/>
    <col min="19" max="19" width="8.28515625" style="65" bestFit="1" customWidth="1"/>
    <col min="20" max="20" width="6.85546875" style="65" bestFit="1" customWidth="1"/>
    <col min="21" max="21" width="8.5703125" style="65" bestFit="1" customWidth="1"/>
    <col min="22" max="22" width="6.85546875" style="65" bestFit="1" customWidth="1"/>
    <col min="23" max="23" width="8.5703125" style="65" bestFit="1" customWidth="1"/>
    <col min="24" max="24" width="8.28515625" style="65" customWidth="1"/>
    <col min="25" max="25" width="11.140625" style="65" customWidth="1"/>
    <col min="26" max="30" width="8.42578125" style="65" customWidth="1"/>
    <col min="31" max="16384" width="14.42578125" style="65"/>
  </cols>
  <sheetData>
    <row r="1" spans="1:25" ht="54" customHeight="1">
      <c r="A1" s="166" t="s">
        <v>63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8"/>
    </row>
    <row r="2" spans="1:25" ht="18.95" customHeight="1">
      <c r="A2" s="169" t="s">
        <v>71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65"/>
    </row>
    <row r="3" spans="1:25" ht="21.75" customHeight="1">
      <c r="A3" s="82"/>
      <c r="B3" s="162" t="s">
        <v>2</v>
      </c>
      <c r="C3" s="163"/>
      <c r="D3" s="164" t="s">
        <v>56</v>
      </c>
      <c r="E3" s="171"/>
      <c r="F3" s="162" t="s">
        <v>4</v>
      </c>
      <c r="G3" s="163"/>
      <c r="H3" s="162" t="s">
        <v>5</v>
      </c>
      <c r="I3" s="163"/>
      <c r="J3" s="162" t="s">
        <v>6</v>
      </c>
      <c r="K3" s="163"/>
      <c r="L3" s="162" t="s">
        <v>7</v>
      </c>
      <c r="M3" s="163"/>
      <c r="N3" s="162" t="s">
        <v>8</v>
      </c>
      <c r="O3" s="163"/>
      <c r="P3" s="162" t="s">
        <v>33</v>
      </c>
      <c r="Q3" s="163"/>
      <c r="R3" s="162" t="s">
        <v>10</v>
      </c>
      <c r="S3" s="163"/>
      <c r="T3" s="162" t="s">
        <v>11</v>
      </c>
      <c r="U3" s="163"/>
      <c r="V3" s="162" t="s">
        <v>26</v>
      </c>
      <c r="W3" s="163"/>
      <c r="X3" s="164" t="s">
        <v>35</v>
      </c>
      <c r="Y3" s="165"/>
    </row>
    <row r="4" spans="1:25" s="72" customFormat="1" ht="30">
      <c r="A4" s="83" t="s">
        <v>1</v>
      </c>
      <c r="B4" s="70" t="s">
        <v>13</v>
      </c>
      <c r="C4" s="70" t="s">
        <v>14</v>
      </c>
      <c r="D4" s="70" t="s">
        <v>50</v>
      </c>
      <c r="E4" s="70" t="s">
        <v>51</v>
      </c>
      <c r="F4" s="79" t="s">
        <v>17</v>
      </c>
      <c r="G4" s="79" t="s">
        <v>18</v>
      </c>
      <c r="H4" s="79" t="s">
        <v>17</v>
      </c>
      <c r="I4" s="79" t="s">
        <v>18</v>
      </c>
      <c r="J4" s="79" t="s">
        <v>17</v>
      </c>
      <c r="K4" s="79" t="s">
        <v>18</v>
      </c>
      <c r="L4" s="79" t="s">
        <v>17</v>
      </c>
      <c r="M4" s="79" t="s">
        <v>18</v>
      </c>
      <c r="N4" s="79" t="s">
        <v>17</v>
      </c>
      <c r="O4" s="79" t="s">
        <v>18</v>
      </c>
      <c r="P4" s="79" t="s">
        <v>17</v>
      </c>
      <c r="Q4" s="79" t="s">
        <v>18</v>
      </c>
      <c r="R4" s="79" t="s">
        <v>17</v>
      </c>
      <c r="S4" s="79" t="s">
        <v>18</v>
      </c>
      <c r="T4" s="79" t="s">
        <v>17</v>
      </c>
      <c r="U4" s="79" t="s">
        <v>18</v>
      </c>
      <c r="V4" s="79" t="s">
        <v>17</v>
      </c>
      <c r="W4" s="79" t="s">
        <v>18</v>
      </c>
      <c r="X4" s="79" t="s">
        <v>17</v>
      </c>
      <c r="Y4" s="84" t="s">
        <v>18</v>
      </c>
    </row>
    <row r="5" spans="1:25" ht="18.75" customHeight="1">
      <c r="A5" s="113">
        <v>46266</v>
      </c>
      <c r="B5" s="108">
        <v>0.71</v>
      </c>
      <c r="C5" s="108">
        <v>0.63</v>
      </c>
      <c r="D5" s="86">
        <v>31.4</v>
      </c>
      <c r="E5" s="86">
        <v>31.6</v>
      </c>
      <c r="F5" s="86">
        <v>7</v>
      </c>
      <c r="G5" s="86">
        <v>7.2</v>
      </c>
      <c r="H5" s="104">
        <v>140</v>
      </c>
      <c r="I5" s="104">
        <v>6</v>
      </c>
      <c r="J5" s="104">
        <v>460</v>
      </c>
      <c r="K5" s="104">
        <v>44</v>
      </c>
      <c r="L5" s="104">
        <v>320</v>
      </c>
      <c r="M5" s="104">
        <v>7</v>
      </c>
      <c r="N5" s="86">
        <v>4.2</v>
      </c>
      <c r="O5" s="86">
        <v>1.3</v>
      </c>
      <c r="P5" s="104">
        <v>310</v>
      </c>
      <c r="Q5" s="104">
        <v>230</v>
      </c>
      <c r="R5" s="90" t="s">
        <v>19</v>
      </c>
      <c r="S5" s="86">
        <v>1.4</v>
      </c>
      <c r="T5" s="86">
        <v>42.8</v>
      </c>
      <c r="U5" s="86">
        <v>8.4</v>
      </c>
      <c r="V5" s="86">
        <v>33.200000000000003</v>
      </c>
      <c r="W5" s="86">
        <v>3</v>
      </c>
      <c r="X5" s="86" t="s">
        <v>37</v>
      </c>
      <c r="Y5" s="87" t="s">
        <v>37</v>
      </c>
    </row>
    <row r="6" spans="1:25" ht="18.75" customHeight="1">
      <c r="A6" s="113">
        <v>46267</v>
      </c>
      <c r="B6" s="108">
        <v>0.78</v>
      </c>
      <c r="C6" s="108">
        <v>0.69</v>
      </c>
      <c r="D6" s="86">
        <v>30.6</v>
      </c>
      <c r="E6" s="86">
        <v>30.8</v>
      </c>
      <c r="F6" s="86">
        <v>7.2</v>
      </c>
      <c r="G6" s="86">
        <v>7.4</v>
      </c>
      <c r="H6" s="104">
        <v>145</v>
      </c>
      <c r="I6" s="104">
        <v>5</v>
      </c>
      <c r="J6" s="104">
        <v>472</v>
      </c>
      <c r="K6" s="104">
        <v>46</v>
      </c>
      <c r="L6" s="104">
        <v>310</v>
      </c>
      <c r="M6" s="104">
        <v>6</v>
      </c>
      <c r="N6" s="86">
        <v>4.5999999999999996</v>
      </c>
      <c r="O6" s="86">
        <v>1.4</v>
      </c>
      <c r="P6" s="104">
        <v>320</v>
      </c>
      <c r="Q6" s="104">
        <v>240</v>
      </c>
      <c r="R6" s="90" t="s">
        <v>19</v>
      </c>
      <c r="S6" s="86">
        <v>1.6</v>
      </c>
      <c r="T6" s="86">
        <v>43.2</v>
      </c>
      <c r="U6" s="86">
        <v>8.1999999999999993</v>
      </c>
      <c r="V6" s="86">
        <v>32.4</v>
      </c>
      <c r="W6" s="86">
        <v>3.2</v>
      </c>
      <c r="X6" s="86">
        <v>9.6</v>
      </c>
      <c r="Y6" s="87">
        <v>2.8</v>
      </c>
    </row>
    <row r="7" spans="1:25" ht="18.75" customHeight="1">
      <c r="A7" s="113">
        <v>46268</v>
      </c>
      <c r="B7" s="108">
        <v>0.83</v>
      </c>
      <c r="C7" s="108">
        <v>0.76</v>
      </c>
      <c r="D7" s="95">
        <v>31.2</v>
      </c>
      <c r="E7" s="86">
        <v>31.4</v>
      </c>
      <c r="F7" s="86">
        <v>7.4</v>
      </c>
      <c r="G7" s="86">
        <v>7.6</v>
      </c>
      <c r="H7" s="104">
        <v>150</v>
      </c>
      <c r="I7" s="104">
        <v>4</v>
      </c>
      <c r="J7" s="104">
        <v>478</v>
      </c>
      <c r="K7" s="104">
        <v>42</v>
      </c>
      <c r="L7" s="104">
        <v>300</v>
      </c>
      <c r="M7" s="104">
        <v>5</v>
      </c>
      <c r="N7" s="86">
        <v>4.8</v>
      </c>
      <c r="O7" s="86">
        <v>1.5</v>
      </c>
      <c r="P7" s="104">
        <v>300</v>
      </c>
      <c r="Q7" s="104">
        <v>230</v>
      </c>
      <c r="R7" s="90" t="s">
        <v>19</v>
      </c>
      <c r="S7" s="86">
        <v>1.5</v>
      </c>
      <c r="T7" s="86">
        <v>42.2</v>
      </c>
      <c r="U7" s="86">
        <v>8</v>
      </c>
      <c r="V7" s="86">
        <v>32.6</v>
      </c>
      <c r="W7" s="86">
        <v>3.4</v>
      </c>
      <c r="X7" s="86" t="s">
        <v>37</v>
      </c>
      <c r="Y7" s="87" t="s">
        <v>37</v>
      </c>
    </row>
    <row r="8" spans="1:25" ht="18.75" customHeight="1">
      <c r="A8" s="113">
        <v>46269</v>
      </c>
      <c r="B8" s="108">
        <v>0.79</v>
      </c>
      <c r="C8" s="108">
        <v>0.72</v>
      </c>
      <c r="D8" s="86">
        <v>29.8</v>
      </c>
      <c r="E8" s="86">
        <v>30</v>
      </c>
      <c r="F8" s="86">
        <v>7.3</v>
      </c>
      <c r="G8" s="86">
        <v>7.5</v>
      </c>
      <c r="H8" s="104">
        <v>155</v>
      </c>
      <c r="I8" s="104">
        <v>4</v>
      </c>
      <c r="J8" s="104">
        <v>474</v>
      </c>
      <c r="K8" s="104">
        <v>38</v>
      </c>
      <c r="L8" s="104">
        <v>290</v>
      </c>
      <c r="M8" s="104">
        <v>5</v>
      </c>
      <c r="N8" s="86">
        <v>4.5999999999999996</v>
      </c>
      <c r="O8" s="86">
        <v>1.2</v>
      </c>
      <c r="P8" s="104">
        <v>310</v>
      </c>
      <c r="Q8" s="104">
        <v>240</v>
      </c>
      <c r="R8" s="90" t="s">
        <v>19</v>
      </c>
      <c r="S8" s="86">
        <v>1.4</v>
      </c>
      <c r="T8" s="86">
        <v>40.6</v>
      </c>
      <c r="U8" s="86">
        <v>8.4</v>
      </c>
      <c r="V8" s="86">
        <v>32</v>
      </c>
      <c r="W8" s="86">
        <v>3.2</v>
      </c>
      <c r="X8" s="86">
        <v>10.4</v>
      </c>
      <c r="Y8" s="87">
        <v>3</v>
      </c>
    </row>
    <row r="9" spans="1:25" ht="18.75" customHeight="1">
      <c r="A9" s="113">
        <v>46270</v>
      </c>
      <c r="B9" s="108">
        <v>0.83</v>
      </c>
      <c r="C9" s="108">
        <v>0.76</v>
      </c>
      <c r="D9" s="86">
        <v>29.4</v>
      </c>
      <c r="E9" s="86">
        <v>29.6</v>
      </c>
      <c r="F9" s="86">
        <v>7.4</v>
      </c>
      <c r="G9" s="86">
        <v>7.6</v>
      </c>
      <c r="H9" s="104">
        <v>145</v>
      </c>
      <c r="I9" s="104">
        <v>5</v>
      </c>
      <c r="J9" s="104">
        <v>480</v>
      </c>
      <c r="K9" s="104">
        <v>44</v>
      </c>
      <c r="L9" s="104">
        <v>308</v>
      </c>
      <c r="M9" s="104">
        <v>8</v>
      </c>
      <c r="N9" s="86">
        <v>4.4000000000000004</v>
      </c>
      <c r="O9" s="86">
        <v>1.4</v>
      </c>
      <c r="P9" s="104">
        <v>300</v>
      </c>
      <c r="Q9" s="104">
        <v>230</v>
      </c>
      <c r="R9" s="90" t="s">
        <v>19</v>
      </c>
      <c r="S9" s="86">
        <v>1.5</v>
      </c>
      <c r="T9" s="86">
        <v>38.6</v>
      </c>
      <c r="U9" s="86">
        <v>8.1999999999999993</v>
      </c>
      <c r="V9" s="86">
        <v>30.2</v>
      </c>
      <c r="W9" s="86">
        <v>3</v>
      </c>
      <c r="X9" s="86" t="s">
        <v>37</v>
      </c>
      <c r="Y9" s="87" t="s">
        <v>37</v>
      </c>
    </row>
    <row r="10" spans="1:25" ht="18.75" customHeight="1">
      <c r="A10" s="113">
        <v>46271</v>
      </c>
      <c r="B10" s="108">
        <v>0.91</v>
      </c>
      <c r="C10" s="108">
        <v>0.86</v>
      </c>
      <c r="D10" s="86">
        <v>29.6</v>
      </c>
      <c r="E10" s="86">
        <v>29.8</v>
      </c>
      <c r="F10" s="86">
        <v>7.3</v>
      </c>
      <c r="G10" s="86">
        <v>7.5</v>
      </c>
      <c r="H10" s="103">
        <v>150</v>
      </c>
      <c r="I10" s="103">
        <v>7</v>
      </c>
      <c r="J10" s="104">
        <v>484</v>
      </c>
      <c r="K10" s="104">
        <v>42</v>
      </c>
      <c r="L10" s="104">
        <v>300</v>
      </c>
      <c r="M10" s="104">
        <v>8</v>
      </c>
      <c r="N10" s="86">
        <v>4.2</v>
      </c>
      <c r="O10" s="86">
        <v>1.3</v>
      </c>
      <c r="P10" s="104">
        <v>310</v>
      </c>
      <c r="Q10" s="104">
        <v>240</v>
      </c>
      <c r="R10" s="90" t="s">
        <v>19</v>
      </c>
      <c r="S10" s="86">
        <v>1.6</v>
      </c>
      <c r="T10" s="86">
        <v>40.200000000000003</v>
      </c>
      <c r="U10" s="86">
        <v>9</v>
      </c>
      <c r="V10" s="86">
        <v>31.2</v>
      </c>
      <c r="W10" s="86">
        <v>3.2</v>
      </c>
      <c r="X10" s="86">
        <v>11.2</v>
      </c>
      <c r="Y10" s="87">
        <v>3.4</v>
      </c>
    </row>
    <row r="11" spans="1:25" ht="18.75" customHeight="1">
      <c r="A11" s="113">
        <v>46272</v>
      </c>
      <c r="B11" s="108">
        <v>0.83</v>
      </c>
      <c r="C11" s="108">
        <v>0.76</v>
      </c>
      <c r="D11" s="86">
        <v>30.2</v>
      </c>
      <c r="E11" s="86">
        <v>30.4</v>
      </c>
      <c r="F11" s="86">
        <v>7.2</v>
      </c>
      <c r="G11" s="86">
        <v>7.4</v>
      </c>
      <c r="H11" s="104">
        <v>140</v>
      </c>
      <c r="I11" s="104">
        <v>6</v>
      </c>
      <c r="J11" s="104">
        <v>488</v>
      </c>
      <c r="K11" s="104">
        <v>44</v>
      </c>
      <c r="L11" s="104">
        <v>290</v>
      </c>
      <c r="M11" s="104">
        <v>9</v>
      </c>
      <c r="N11" s="86">
        <v>4</v>
      </c>
      <c r="O11" s="86">
        <v>1.2</v>
      </c>
      <c r="P11" s="104">
        <v>320</v>
      </c>
      <c r="Q11" s="104">
        <v>250</v>
      </c>
      <c r="R11" s="90" t="s">
        <v>19</v>
      </c>
      <c r="S11" s="86">
        <v>1.4</v>
      </c>
      <c r="T11" s="86">
        <v>42</v>
      </c>
      <c r="U11" s="86">
        <v>9.1999999999999993</v>
      </c>
      <c r="V11" s="86">
        <v>32.4</v>
      </c>
      <c r="W11" s="86">
        <v>3.4</v>
      </c>
      <c r="X11" s="86" t="s">
        <v>37</v>
      </c>
      <c r="Y11" s="87" t="s">
        <v>37</v>
      </c>
    </row>
    <row r="12" spans="1:25" ht="18.75" customHeight="1">
      <c r="A12" s="113">
        <v>46273</v>
      </c>
      <c r="B12" s="108">
        <v>0.87</v>
      </c>
      <c r="C12" s="108">
        <v>0.81</v>
      </c>
      <c r="D12" s="86">
        <v>30.4</v>
      </c>
      <c r="E12" s="86">
        <v>30.6</v>
      </c>
      <c r="F12" s="86">
        <v>7.4</v>
      </c>
      <c r="G12" s="86">
        <v>7.6</v>
      </c>
      <c r="H12" s="104">
        <v>145</v>
      </c>
      <c r="I12" s="104">
        <v>7</v>
      </c>
      <c r="J12" s="104">
        <v>492</v>
      </c>
      <c r="K12" s="104">
        <v>46</v>
      </c>
      <c r="L12" s="104">
        <v>280</v>
      </c>
      <c r="M12" s="104">
        <v>8</v>
      </c>
      <c r="N12" s="86">
        <v>4.4000000000000004</v>
      </c>
      <c r="O12" s="86">
        <v>1.4</v>
      </c>
      <c r="P12" s="104">
        <v>300</v>
      </c>
      <c r="Q12" s="104">
        <v>230</v>
      </c>
      <c r="R12" s="90" t="s">
        <v>19</v>
      </c>
      <c r="S12" s="86">
        <v>1.8</v>
      </c>
      <c r="T12" s="86">
        <v>42.4</v>
      </c>
      <c r="U12" s="86">
        <v>8.8000000000000007</v>
      </c>
      <c r="V12" s="86">
        <v>33.200000000000003</v>
      </c>
      <c r="W12" s="86">
        <v>3</v>
      </c>
      <c r="X12" s="86">
        <v>11.4</v>
      </c>
      <c r="Y12" s="87">
        <v>3.6</v>
      </c>
    </row>
    <row r="13" spans="1:25" ht="18.75" customHeight="1">
      <c r="A13" s="113">
        <v>46274</v>
      </c>
      <c r="B13" s="108">
        <v>0.79</v>
      </c>
      <c r="C13" s="108">
        <v>0.72</v>
      </c>
      <c r="D13" s="95">
        <v>30.2</v>
      </c>
      <c r="E13" s="95">
        <v>30.4</v>
      </c>
      <c r="F13" s="86">
        <v>7.2</v>
      </c>
      <c r="G13" s="86">
        <v>7.4</v>
      </c>
      <c r="H13" s="104">
        <v>150</v>
      </c>
      <c r="I13" s="104">
        <v>6</v>
      </c>
      <c r="J13" s="104">
        <v>484</v>
      </c>
      <c r="K13" s="104">
        <v>44</v>
      </c>
      <c r="L13" s="104">
        <v>270</v>
      </c>
      <c r="M13" s="104">
        <v>7</v>
      </c>
      <c r="N13" s="86">
        <v>4</v>
      </c>
      <c r="O13" s="86">
        <v>1.2</v>
      </c>
      <c r="P13" s="104">
        <v>310</v>
      </c>
      <c r="Q13" s="104">
        <v>240</v>
      </c>
      <c r="R13" s="90" t="s">
        <v>19</v>
      </c>
      <c r="S13" s="86">
        <v>1.4</v>
      </c>
      <c r="T13" s="86">
        <v>42.6</v>
      </c>
      <c r="U13" s="86">
        <v>10.4</v>
      </c>
      <c r="V13" s="86">
        <v>32.200000000000003</v>
      </c>
      <c r="W13" s="86">
        <v>3.2</v>
      </c>
      <c r="X13" s="86" t="s">
        <v>37</v>
      </c>
      <c r="Y13" s="87" t="s">
        <v>37</v>
      </c>
    </row>
    <row r="14" spans="1:25" ht="18.75" customHeight="1">
      <c r="A14" s="113">
        <v>46275</v>
      </c>
      <c r="B14" s="108">
        <v>0.81</v>
      </c>
      <c r="C14" s="108">
        <v>0.74</v>
      </c>
      <c r="D14" s="86">
        <v>30.6</v>
      </c>
      <c r="E14" s="86">
        <v>30.8</v>
      </c>
      <c r="F14" s="86">
        <v>7.4</v>
      </c>
      <c r="G14" s="86">
        <v>7.6</v>
      </c>
      <c r="H14" s="104">
        <v>140</v>
      </c>
      <c r="I14" s="104">
        <v>5</v>
      </c>
      <c r="J14" s="104">
        <v>482</v>
      </c>
      <c r="K14" s="104">
        <v>46</v>
      </c>
      <c r="L14" s="104">
        <v>280</v>
      </c>
      <c r="M14" s="104">
        <v>6</v>
      </c>
      <c r="N14" s="86">
        <v>4.2</v>
      </c>
      <c r="O14" s="86">
        <v>1</v>
      </c>
      <c r="P14" s="104">
        <v>320</v>
      </c>
      <c r="Q14" s="104">
        <v>230</v>
      </c>
      <c r="R14" s="90" t="s">
        <v>19</v>
      </c>
      <c r="S14" s="86">
        <v>1.5</v>
      </c>
      <c r="T14" s="86">
        <v>40.4</v>
      </c>
      <c r="U14" s="86">
        <v>9.8000000000000007</v>
      </c>
      <c r="V14" s="86">
        <v>31.6</v>
      </c>
      <c r="W14" s="86">
        <v>3.4</v>
      </c>
      <c r="X14" s="86">
        <v>11</v>
      </c>
      <c r="Y14" s="87">
        <v>3.2</v>
      </c>
    </row>
    <row r="15" spans="1:25" ht="18.75" customHeight="1">
      <c r="A15" s="113">
        <v>46276</v>
      </c>
      <c r="B15" s="108">
        <v>0.76</v>
      </c>
      <c r="C15" s="108">
        <v>0.69</v>
      </c>
      <c r="D15" s="86">
        <v>30.2</v>
      </c>
      <c r="E15" s="86">
        <v>30.4</v>
      </c>
      <c r="F15" s="86">
        <v>7.2</v>
      </c>
      <c r="G15" s="86">
        <v>7.4</v>
      </c>
      <c r="H15" s="104">
        <v>145</v>
      </c>
      <c r="I15" s="104">
        <v>6</v>
      </c>
      <c r="J15" s="104">
        <v>490</v>
      </c>
      <c r="K15" s="104">
        <v>42</v>
      </c>
      <c r="L15" s="104">
        <v>270</v>
      </c>
      <c r="M15" s="104">
        <v>7</v>
      </c>
      <c r="N15" s="86">
        <v>4.5999999999999996</v>
      </c>
      <c r="O15" s="86">
        <v>1.2</v>
      </c>
      <c r="P15" s="104">
        <v>300</v>
      </c>
      <c r="Q15" s="104">
        <v>250</v>
      </c>
      <c r="R15" s="90" t="s">
        <v>19</v>
      </c>
      <c r="S15" s="86">
        <v>1.3</v>
      </c>
      <c r="T15" s="86">
        <v>40</v>
      </c>
      <c r="U15" s="86">
        <v>9.4</v>
      </c>
      <c r="V15" s="86">
        <v>31</v>
      </c>
      <c r="W15" s="86">
        <v>3</v>
      </c>
      <c r="X15" s="86" t="s">
        <v>37</v>
      </c>
      <c r="Y15" s="87" t="s">
        <v>37</v>
      </c>
    </row>
    <row r="16" spans="1:25" ht="18.75" customHeight="1">
      <c r="A16" s="113">
        <v>46277</v>
      </c>
      <c r="B16" s="108">
        <v>0.64</v>
      </c>
      <c r="C16" s="102">
        <v>0.55700000000000005</v>
      </c>
      <c r="D16" s="86">
        <v>30</v>
      </c>
      <c r="E16" s="86">
        <v>30.2</v>
      </c>
      <c r="F16" s="86">
        <v>7.3</v>
      </c>
      <c r="G16" s="86">
        <v>7.5</v>
      </c>
      <c r="H16" s="104">
        <v>150</v>
      </c>
      <c r="I16" s="104">
        <v>5</v>
      </c>
      <c r="J16" s="104">
        <v>488</v>
      </c>
      <c r="K16" s="104">
        <v>44</v>
      </c>
      <c r="L16" s="104">
        <v>274</v>
      </c>
      <c r="M16" s="104">
        <v>6</v>
      </c>
      <c r="N16" s="86">
        <v>4.2</v>
      </c>
      <c r="O16" s="86">
        <v>1.4</v>
      </c>
      <c r="P16" s="104">
        <v>310</v>
      </c>
      <c r="Q16" s="104">
        <v>240</v>
      </c>
      <c r="R16" s="90" t="s">
        <v>19</v>
      </c>
      <c r="S16" s="86">
        <v>1.4</v>
      </c>
      <c r="T16" s="86">
        <v>38.6</v>
      </c>
      <c r="U16" s="86">
        <v>9</v>
      </c>
      <c r="V16" s="86">
        <v>30.6</v>
      </c>
      <c r="W16" s="86">
        <v>3.2</v>
      </c>
      <c r="X16" s="86">
        <v>10.8</v>
      </c>
      <c r="Y16" s="87">
        <v>3</v>
      </c>
    </row>
    <row r="17" spans="1:25" ht="18.75" customHeight="1">
      <c r="A17" s="113">
        <v>46278</v>
      </c>
      <c r="B17" s="102">
        <v>0.72199999999999998</v>
      </c>
      <c r="C17" s="108">
        <v>0.64</v>
      </c>
      <c r="D17" s="86">
        <v>30.2</v>
      </c>
      <c r="E17" s="86">
        <v>30.4</v>
      </c>
      <c r="F17" s="86">
        <v>7.4</v>
      </c>
      <c r="G17" s="86">
        <v>7.6</v>
      </c>
      <c r="H17" s="104">
        <v>140</v>
      </c>
      <c r="I17" s="104">
        <v>4</v>
      </c>
      <c r="J17" s="104">
        <v>492</v>
      </c>
      <c r="K17" s="104">
        <v>46</v>
      </c>
      <c r="L17" s="104">
        <v>260</v>
      </c>
      <c r="M17" s="104">
        <v>5</v>
      </c>
      <c r="N17" s="86">
        <v>4</v>
      </c>
      <c r="O17" s="86">
        <v>1.2</v>
      </c>
      <c r="P17" s="104">
        <v>300</v>
      </c>
      <c r="Q17" s="104">
        <v>230</v>
      </c>
      <c r="R17" s="90" t="s">
        <v>19</v>
      </c>
      <c r="S17" s="86">
        <v>1.6</v>
      </c>
      <c r="T17" s="86">
        <v>40.200000000000003</v>
      </c>
      <c r="U17" s="86">
        <v>8.8000000000000007</v>
      </c>
      <c r="V17" s="86">
        <v>30.4</v>
      </c>
      <c r="W17" s="86">
        <v>3</v>
      </c>
      <c r="X17" s="86" t="s">
        <v>37</v>
      </c>
      <c r="Y17" s="87" t="s">
        <v>37</v>
      </c>
    </row>
    <row r="18" spans="1:25" ht="18.75" customHeight="1">
      <c r="A18" s="113">
        <v>46279</v>
      </c>
      <c r="B18" s="108">
        <v>0.68</v>
      </c>
      <c r="C18" s="102">
        <v>0.61199999999999999</v>
      </c>
      <c r="D18" s="96">
        <v>30.4</v>
      </c>
      <c r="E18" s="86">
        <v>30.6</v>
      </c>
      <c r="F18" s="86">
        <v>7.2</v>
      </c>
      <c r="G18" s="86">
        <v>7.4</v>
      </c>
      <c r="H18" s="104">
        <v>145</v>
      </c>
      <c r="I18" s="104">
        <v>5</v>
      </c>
      <c r="J18" s="104">
        <v>484</v>
      </c>
      <c r="K18" s="104">
        <v>48</v>
      </c>
      <c r="L18" s="104">
        <v>262</v>
      </c>
      <c r="M18" s="104">
        <v>6</v>
      </c>
      <c r="N18" s="86">
        <v>4.4000000000000004</v>
      </c>
      <c r="O18" s="86">
        <v>1.6</v>
      </c>
      <c r="P18" s="104">
        <v>310</v>
      </c>
      <c r="Q18" s="104">
        <v>240</v>
      </c>
      <c r="R18" s="90" t="s">
        <v>19</v>
      </c>
      <c r="S18" s="86">
        <v>1.8</v>
      </c>
      <c r="T18" s="86">
        <v>42.4</v>
      </c>
      <c r="U18" s="86">
        <v>8.4</v>
      </c>
      <c r="V18" s="86">
        <v>30</v>
      </c>
      <c r="W18" s="86">
        <v>3.2</v>
      </c>
      <c r="X18" s="86">
        <v>11.2</v>
      </c>
      <c r="Y18" s="87">
        <v>3.4</v>
      </c>
    </row>
    <row r="19" spans="1:25" ht="18.75" customHeight="1">
      <c r="A19" s="113">
        <v>46280</v>
      </c>
      <c r="B19" s="108">
        <v>0.71</v>
      </c>
      <c r="C19" s="102">
        <v>0.63500000000000001</v>
      </c>
      <c r="D19" s="86">
        <v>30.2</v>
      </c>
      <c r="E19" s="86">
        <v>30.4</v>
      </c>
      <c r="F19" s="86">
        <v>7.3</v>
      </c>
      <c r="G19" s="86">
        <v>7.5</v>
      </c>
      <c r="H19" s="104">
        <v>140</v>
      </c>
      <c r="I19" s="104">
        <v>4</v>
      </c>
      <c r="J19" s="104">
        <v>480</v>
      </c>
      <c r="K19" s="104">
        <v>44</v>
      </c>
      <c r="L19" s="104">
        <v>268</v>
      </c>
      <c r="M19" s="104">
        <v>5</v>
      </c>
      <c r="N19" s="86">
        <v>4.2</v>
      </c>
      <c r="O19" s="86">
        <v>1.3</v>
      </c>
      <c r="P19" s="104">
        <v>300</v>
      </c>
      <c r="Q19" s="104">
        <v>230</v>
      </c>
      <c r="R19" s="90" t="s">
        <v>19</v>
      </c>
      <c r="S19" s="86">
        <v>1.4</v>
      </c>
      <c r="T19" s="86">
        <v>40.6</v>
      </c>
      <c r="U19" s="86">
        <v>8.8000000000000007</v>
      </c>
      <c r="V19" s="86">
        <v>30.8</v>
      </c>
      <c r="W19" s="86">
        <v>3</v>
      </c>
      <c r="X19" s="86" t="s">
        <v>37</v>
      </c>
      <c r="Y19" s="87" t="s">
        <v>37</v>
      </c>
    </row>
    <row r="20" spans="1:25" ht="18.75" customHeight="1">
      <c r="A20" s="113">
        <v>46281</v>
      </c>
      <c r="B20" s="108">
        <v>0.69</v>
      </c>
      <c r="C20" s="102">
        <v>0.621</v>
      </c>
      <c r="D20" s="86">
        <v>30</v>
      </c>
      <c r="E20" s="86">
        <v>30.2</v>
      </c>
      <c r="F20" s="86">
        <v>7.4</v>
      </c>
      <c r="G20" s="86">
        <v>7.6</v>
      </c>
      <c r="H20" s="104">
        <v>155</v>
      </c>
      <c r="I20" s="104">
        <v>5</v>
      </c>
      <c r="J20" s="104">
        <v>472</v>
      </c>
      <c r="K20" s="104">
        <v>42</v>
      </c>
      <c r="L20" s="104">
        <v>270</v>
      </c>
      <c r="M20" s="104">
        <v>6</v>
      </c>
      <c r="N20" s="86">
        <v>4</v>
      </c>
      <c r="O20" s="86">
        <v>1.6</v>
      </c>
      <c r="P20" s="104">
        <v>290</v>
      </c>
      <c r="Q20" s="104">
        <v>220</v>
      </c>
      <c r="R20" s="90" t="s">
        <v>19</v>
      </c>
      <c r="S20" s="86">
        <v>1.6</v>
      </c>
      <c r="T20" s="86">
        <v>38.799999999999997</v>
      </c>
      <c r="U20" s="86">
        <v>9</v>
      </c>
      <c r="V20" s="86">
        <v>31</v>
      </c>
      <c r="W20" s="86">
        <v>3.4</v>
      </c>
      <c r="X20" s="86">
        <v>11</v>
      </c>
      <c r="Y20" s="87">
        <v>3.6</v>
      </c>
    </row>
    <row r="21" spans="1:25" ht="18.75" customHeight="1">
      <c r="A21" s="113">
        <v>46282</v>
      </c>
      <c r="B21" s="108">
        <v>0.66</v>
      </c>
      <c r="C21" s="81">
        <v>0.59</v>
      </c>
      <c r="D21" s="86">
        <v>29.8</v>
      </c>
      <c r="E21" s="86">
        <v>30</v>
      </c>
      <c r="F21" s="86">
        <v>7.2</v>
      </c>
      <c r="G21" s="86">
        <v>7.4</v>
      </c>
      <c r="H21" s="104">
        <v>140</v>
      </c>
      <c r="I21" s="104">
        <v>5</v>
      </c>
      <c r="J21" s="104">
        <v>464</v>
      </c>
      <c r="K21" s="104">
        <v>46</v>
      </c>
      <c r="L21" s="104">
        <v>264</v>
      </c>
      <c r="M21" s="104">
        <v>6</v>
      </c>
      <c r="N21" s="86">
        <v>4.4000000000000004</v>
      </c>
      <c r="O21" s="86">
        <v>1.8</v>
      </c>
      <c r="P21" s="104">
        <v>310</v>
      </c>
      <c r="Q21" s="104">
        <v>240</v>
      </c>
      <c r="R21" s="90" t="s">
        <v>19</v>
      </c>
      <c r="S21" s="86">
        <v>1.5</v>
      </c>
      <c r="T21" s="86">
        <v>40</v>
      </c>
      <c r="U21" s="86">
        <v>9.1999999999999993</v>
      </c>
      <c r="V21" s="86">
        <v>31.4</v>
      </c>
      <c r="W21" s="86">
        <v>3.2</v>
      </c>
      <c r="X21" s="86" t="s">
        <v>37</v>
      </c>
      <c r="Y21" s="87" t="s">
        <v>37</v>
      </c>
    </row>
    <row r="22" spans="1:25" ht="18.75" customHeight="1">
      <c r="A22" s="113">
        <v>46283</v>
      </c>
      <c r="B22" s="108">
        <v>0.73</v>
      </c>
      <c r="C22" s="102">
        <v>0.65300000000000002</v>
      </c>
      <c r="D22" s="86">
        <v>30</v>
      </c>
      <c r="E22" s="86">
        <v>30.2</v>
      </c>
      <c r="F22" s="86">
        <v>7.3</v>
      </c>
      <c r="G22" s="86">
        <v>7.5</v>
      </c>
      <c r="H22" s="104">
        <v>145</v>
      </c>
      <c r="I22" s="104">
        <v>4</v>
      </c>
      <c r="J22" s="104">
        <v>460</v>
      </c>
      <c r="K22" s="104">
        <v>48</v>
      </c>
      <c r="L22" s="104">
        <v>260</v>
      </c>
      <c r="M22" s="104">
        <v>5</v>
      </c>
      <c r="N22" s="86">
        <v>4.5999999999999996</v>
      </c>
      <c r="O22" s="86">
        <v>1</v>
      </c>
      <c r="P22" s="104">
        <v>300</v>
      </c>
      <c r="Q22" s="104">
        <v>230</v>
      </c>
      <c r="R22" s="90" t="s">
        <v>19</v>
      </c>
      <c r="S22" s="86">
        <v>1.6</v>
      </c>
      <c r="T22" s="86">
        <v>42.2</v>
      </c>
      <c r="U22" s="86">
        <v>9</v>
      </c>
      <c r="V22" s="86">
        <v>30.2</v>
      </c>
      <c r="W22" s="86">
        <v>3</v>
      </c>
      <c r="X22" s="86">
        <v>10.8</v>
      </c>
      <c r="Y22" s="87">
        <v>3.4</v>
      </c>
    </row>
    <row r="23" spans="1:25" ht="18.75" customHeight="1">
      <c r="A23" s="113">
        <v>46284</v>
      </c>
      <c r="B23" s="108">
        <v>0.68</v>
      </c>
      <c r="C23" s="108">
        <v>0.59</v>
      </c>
      <c r="D23" s="96">
        <v>29.8</v>
      </c>
      <c r="E23" s="96">
        <v>30</v>
      </c>
      <c r="F23" s="86">
        <v>7.4</v>
      </c>
      <c r="G23" s="86">
        <v>7.6</v>
      </c>
      <c r="H23" s="104">
        <v>150</v>
      </c>
      <c r="I23" s="104">
        <v>5</v>
      </c>
      <c r="J23" s="104">
        <v>472</v>
      </c>
      <c r="K23" s="104">
        <v>44</v>
      </c>
      <c r="L23" s="104">
        <v>256</v>
      </c>
      <c r="M23" s="104">
        <v>6</v>
      </c>
      <c r="N23" s="86">
        <v>4.2</v>
      </c>
      <c r="O23" s="86">
        <v>0.8</v>
      </c>
      <c r="P23" s="104">
        <v>290</v>
      </c>
      <c r="Q23" s="104">
        <v>240</v>
      </c>
      <c r="R23" s="90" t="s">
        <v>19</v>
      </c>
      <c r="S23" s="86">
        <v>1.5</v>
      </c>
      <c r="T23" s="86">
        <v>38.799999999999997</v>
      </c>
      <c r="U23" s="86">
        <v>8.8000000000000007</v>
      </c>
      <c r="V23" s="86">
        <v>28</v>
      </c>
      <c r="W23" s="86">
        <v>3.4</v>
      </c>
      <c r="X23" s="86" t="s">
        <v>37</v>
      </c>
      <c r="Y23" s="87" t="s">
        <v>37</v>
      </c>
    </row>
    <row r="24" spans="1:25" ht="18.75" customHeight="1">
      <c r="A24" s="113">
        <v>46285</v>
      </c>
      <c r="B24" s="108">
        <v>0.72</v>
      </c>
      <c r="C24" s="108">
        <v>0.63</v>
      </c>
      <c r="D24" s="86">
        <v>30</v>
      </c>
      <c r="E24" s="86">
        <v>30.2</v>
      </c>
      <c r="F24" s="86">
        <v>7.2</v>
      </c>
      <c r="G24" s="86">
        <v>7.4</v>
      </c>
      <c r="H24" s="104">
        <v>155</v>
      </c>
      <c r="I24" s="104">
        <v>4</v>
      </c>
      <c r="J24" s="104">
        <v>480</v>
      </c>
      <c r="K24" s="104">
        <v>46</v>
      </c>
      <c r="L24" s="104">
        <v>250</v>
      </c>
      <c r="M24" s="104">
        <v>5</v>
      </c>
      <c r="N24" s="86">
        <v>4</v>
      </c>
      <c r="O24" s="86">
        <v>0.6</v>
      </c>
      <c r="P24" s="104">
        <v>300</v>
      </c>
      <c r="Q24" s="104">
        <v>230</v>
      </c>
      <c r="R24" s="90" t="s">
        <v>19</v>
      </c>
      <c r="S24" s="86">
        <v>1.7</v>
      </c>
      <c r="T24" s="86">
        <v>38.4</v>
      </c>
      <c r="U24" s="86">
        <v>8.4</v>
      </c>
      <c r="V24" s="86">
        <v>28.4</v>
      </c>
      <c r="W24" s="86">
        <v>3.2</v>
      </c>
      <c r="X24" s="86">
        <v>10.199999999999999</v>
      </c>
      <c r="Y24" s="87">
        <v>3.2</v>
      </c>
    </row>
    <row r="25" spans="1:25" ht="18.75" customHeight="1">
      <c r="A25" s="113">
        <v>46286</v>
      </c>
      <c r="B25" s="108">
        <v>0.93</v>
      </c>
      <c r="C25" s="102">
        <v>0.84599999999999997</v>
      </c>
      <c r="D25" s="86">
        <v>30.4</v>
      </c>
      <c r="E25" s="86">
        <v>30.6</v>
      </c>
      <c r="F25" s="86">
        <v>7.4</v>
      </c>
      <c r="G25" s="86">
        <v>7.6</v>
      </c>
      <c r="H25" s="103">
        <v>160</v>
      </c>
      <c r="I25" s="103">
        <v>5</v>
      </c>
      <c r="J25" s="104">
        <v>484</v>
      </c>
      <c r="K25" s="104">
        <v>48</v>
      </c>
      <c r="L25" s="104">
        <v>260</v>
      </c>
      <c r="M25" s="104">
        <v>6</v>
      </c>
      <c r="N25" s="86">
        <v>4.2</v>
      </c>
      <c r="O25" s="86">
        <v>0.8</v>
      </c>
      <c r="P25" s="104">
        <v>310</v>
      </c>
      <c r="Q25" s="104">
        <v>240</v>
      </c>
      <c r="R25" s="90" t="s">
        <v>19</v>
      </c>
      <c r="S25" s="86">
        <v>1.6</v>
      </c>
      <c r="T25" s="86">
        <v>38</v>
      </c>
      <c r="U25" s="86">
        <v>8.6</v>
      </c>
      <c r="V25" s="86">
        <v>28.8</v>
      </c>
      <c r="W25" s="86">
        <v>2.8</v>
      </c>
      <c r="X25" s="86" t="s">
        <v>37</v>
      </c>
      <c r="Y25" s="87" t="s">
        <v>37</v>
      </c>
    </row>
    <row r="26" spans="1:25" ht="18.75" customHeight="1">
      <c r="A26" s="113">
        <v>46287</v>
      </c>
      <c r="B26" s="108">
        <v>0.74</v>
      </c>
      <c r="C26" s="102">
        <v>0.65600000000000003</v>
      </c>
      <c r="D26" s="86">
        <v>30.2</v>
      </c>
      <c r="E26" s="86">
        <v>30.4</v>
      </c>
      <c r="F26" s="86">
        <v>7.3</v>
      </c>
      <c r="G26" s="86">
        <v>7.5</v>
      </c>
      <c r="H26" s="104">
        <v>165</v>
      </c>
      <c r="I26" s="104">
        <v>4</v>
      </c>
      <c r="J26" s="104">
        <v>480</v>
      </c>
      <c r="K26" s="104">
        <v>46</v>
      </c>
      <c r="L26" s="104">
        <v>264</v>
      </c>
      <c r="M26" s="104">
        <v>5</v>
      </c>
      <c r="N26" s="86">
        <v>4</v>
      </c>
      <c r="O26" s="86">
        <v>1</v>
      </c>
      <c r="P26" s="104">
        <v>300</v>
      </c>
      <c r="Q26" s="104">
        <v>250</v>
      </c>
      <c r="R26" s="90" t="s">
        <v>19</v>
      </c>
      <c r="S26" s="86">
        <v>1.5</v>
      </c>
      <c r="T26" s="86">
        <v>38.4</v>
      </c>
      <c r="U26" s="86">
        <v>8.1999999999999993</v>
      </c>
      <c r="V26" s="86">
        <v>29</v>
      </c>
      <c r="W26" s="86">
        <v>2.5</v>
      </c>
      <c r="X26" s="86">
        <v>10.6</v>
      </c>
      <c r="Y26" s="87">
        <v>3</v>
      </c>
    </row>
    <row r="27" spans="1:25" ht="18.75" customHeight="1">
      <c r="A27" s="113">
        <v>46288</v>
      </c>
      <c r="B27" s="114">
        <v>0.67</v>
      </c>
      <c r="C27" s="152">
        <v>0.59299999999999997</v>
      </c>
      <c r="D27" s="96">
        <v>30</v>
      </c>
      <c r="E27" s="96">
        <v>30.2</v>
      </c>
      <c r="F27" s="96">
        <v>7.4</v>
      </c>
      <c r="G27" s="96">
        <v>7.6</v>
      </c>
      <c r="H27" s="106">
        <v>170</v>
      </c>
      <c r="I27" s="106">
        <v>5</v>
      </c>
      <c r="J27" s="106">
        <v>472</v>
      </c>
      <c r="K27" s="106">
        <v>40</v>
      </c>
      <c r="L27" s="127">
        <v>262</v>
      </c>
      <c r="M27" s="106">
        <v>6</v>
      </c>
      <c r="N27" s="96">
        <v>3.5</v>
      </c>
      <c r="O27" s="96">
        <v>0.8</v>
      </c>
      <c r="P27" s="106">
        <v>290</v>
      </c>
      <c r="Q27" s="106">
        <v>230</v>
      </c>
      <c r="R27" s="90" t="s">
        <v>19</v>
      </c>
      <c r="S27" s="96">
        <v>1.8</v>
      </c>
      <c r="T27" s="96">
        <v>38.200000000000003</v>
      </c>
      <c r="U27" s="96">
        <v>8</v>
      </c>
      <c r="V27" s="96">
        <v>29.5</v>
      </c>
      <c r="W27" s="96">
        <v>2.4</v>
      </c>
      <c r="X27" s="96" t="s">
        <v>37</v>
      </c>
      <c r="Y27" s="87" t="s">
        <v>37</v>
      </c>
    </row>
    <row r="28" spans="1:25" ht="18.75" customHeight="1">
      <c r="A28" s="113">
        <v>46289</v>
      </c>
      <c r="B28" s="108">
        <v>0.68</v>
      </c>
      <c r="C28" s="102">
        <v>0.60099999999999998</v>
      </c>
      <c r="D28" s="86">
        <v>30.2</v>
      </c>
      <c r="E28" s="86">
        <v>30.4</v>
      </c>
      <c r="F28" s="86">
        <v>7.2</v>
      </c>
      <c r="G28" s="86">
        <v>7.4</v>
      </c>
      <c r="H28" s="104">
        <v>160</v>
      </c>
      <c r="I28" s="104">
        <v>5</v>
      </c>
      <c r="J28" s="104">
        <v>466</v>
      </c>
      <c r="K28" s="104">
        <v>38</v>
      </c>
      <c r="L28" s="106">
        <v>256</v>
      </c>
      <c r="M28" s="104">
        <v>6</v>
      </c>
      <c r="N28" s="86">
        <v>3.2</v>
      </c>
      <c r="O28" s="86">
        <v>0.6</v>
      </c>
      <c r="P28" s="104">
        <v>300</v>
      </c>
      <c r="Q28" s="104">
        <v>240</v>
      </c>
      <c r="R28" s="90" t="s">
        <v>19</v>
      </c>
      <c r="S28" s="86">
        <v>1.6</v>
      </c>
      <c r="T28" s="86">
        <v>38</v>
      </c>
      <c r="U28" s="86">
        <v>8.4</v>
      </c>
      <c r="V28" s="86">
        <v>29</v>
      </c>
      <c r="W28" s="86">
        <v>2.5</v>
      </c>
      <c r="X28" s="86">
        <v>9.8000000000000007</v>
      </c>
      <c r="Y28" s="87">
        <v>2.8</v>
      </c>
    </row>
    <row r="29" spans="1:25" ht="18.75" customHeight="1">
      <c r="A29" s="113">
        <v>46290</v>
      </c>
      <c r="B29" s="108">
        <v>0.63</v>
      </c>
      <c r="C29" s="108">
        <v>0.56999999999999995</v>
      </c>
      <c r="D29" s="86">
        <v>29.8</v>
      </c>
      <c r="E29" s="86">
        <v>30</v>
      </c>
      <c r="F29" s="86">
        <v>7.3</v>
      </c>
      <c r="G29" s="86">
        <v>7.5</v>
      </c>
      <c r="H29" s="104">
        <v>155</v>
      </c>
      <c r="I29" s="104">
        <v>4</v>
      </c>
      <c r="J29" s="104">
        <v>460</v>
      </c>
      <c r="K29" s="104">
        <v>36</v>
      </c>
      <c r="L29" s="104">
        <v>250</v>
      </c>
      <c r="M29" s="104">
        <v>5</v>
      </c>
      <c r="N29" s="86">
        <v>3</v>
      </c>
      <c r="O29" s="86">
        <v>0.8</v>
      </c>
      <c r="P29" s="104">
        <v>310</v>
      </c>
      <c r="Q29" s="104">
        <v>230</v>
      </c>
      <c r="R29" s="90" t="s">
        <v>19</v>
      </c>
      <c r="S29" s="86">
        <v>1.5</v>
      </c>
      <c r="T29" s="86">
        <v>40.200000000000003</v>
      </c>
      <c r="U29" s="86">
        <v>8.8000000000000007</v>
      </c>
      <c r="V29" s="86">
        <v>29.4</v>
      </c>
      <c r="W29" s="86">
        <v>2.2000000000000002</v>
      </c>
      <c r="X29" s="86" t="s">
        <v>37</v>
      </c>
      <c r="Y29" s="87" t="s">
        <v>37</v>
      </c>
    </row>
    <row r="30" spans="1:25" ht="18.75" customHeight="1">
      <c r="A30" s="113">
        <v>46291</v>
      </c>
      <c r="B30" s="108">
        <v>0.69</v>
      </c>
      <c r="C30" s="108">
        <v>0.61</v>
      </c>
      <c r="D30" s="86">
        <v>30.2</v>
      </c>
      <c r="E30" s="86">
        <v>30.4</v>
      </c>
      <c r="F30" s="86">
        <v>7.4</v>
      </c>
      <c r="G30" s="86">
        <v>7.6</v>
      </c>
      <c r="H30" s="104">
        <v>165</v>
      </c>
      <c r="I30" s="104">
        <v>5</v>
      </c>
      <c r="J30" s="103">
        <v>476</v>
      </c>
      <c r="K30" s="103">
        <v>34</v>
      </c>
      <c r="L30" s="104">
        <v>260</v>
      </c>
      <c r="M30" s="104">
        <v>6</v>
      </c>
      <c r="N30" s="86">
        <v>3.5</v>
      </c>
      <c r="O30" s="86">
        <v>1</v>
      </c>
      <c r="P30" s="106">
        <v>330</v>
      </c>
      <c r="Q30" s="106">
        <v>250</v>
      </c>
      <c r="R30" s="90" t="s">
        <v>19</v>
      </c>
      <c r="S30" s="96">
        <v>1.6</v>
      </c>
      <c r="T30" s="86">
        <v>40.6</v>
      </c>
      <c r="U30" s="86">
        <v>9</v>
      </c>
      <c r="V30" s="86">
        <v>28.6</v>
      </c>
      <c r="W30" s="86">
        <v>2</v>
      </c>
      <c r="X30" s="86">
        <v>10.199999999999999</v>
      </c>
      <c r="Y30" s="87">
        <v>3</v>
      </c>
    </row>
    <row r="31" spans="1:25" ht="18.75" customHeight="1">
      <c r="A31" s="113">
        <v>46292</v>
      </c>
      <c r="B31" s="108">
        <v>0.69</v>
      </c>
      <c r="C31" s="108">
        <v>0.61</v>
      </c>
      <c r="D31" s="86">
        <v>30.4</v>
      </c>
      <c r="E31" s="86">
        <v>30.6</v>
      </c>
      <c r="F31" s="86">
        <v>7.2</v>
      </c>
      <c r="G31" s="86">
        <v>7.4</v>
      </c>
      <c r="H31" s="104">
        <v>175</v>
      </c>
      <c r="I31" s="104">
        <v>6</v>
      </c>
      <c r="J31" s="103">
        <v>482</v>
      </c>
      <c r="K31" s="103">
        <v>36</v>
      </c>
      <c r="L31" s="104">
        <v>264</v>
      </c>
      <c r="M31" s="104">
        <v>7</v>
      </c>
      <c r="N31" s="86">
        <v>3.8</v>
      </c>
      <c r="O31" s="86">
        <v>1.2</v>
      </c>
      <c r="P31" s="106">
        <v>340</v>
      </c>
      <c r="Q31" s="106">
        <v>260</v>
      </c>
      <c r="R31" s="90" t="s">
        <v>19</v>
      </c>
      <c r="S31" s="96">
        <v>1.5</v>
      </c>
      <c r="T31" s="86">
        <v>38.6</v>
      </c>
      <c r="U31" s="86">
        <v>8.6</v>
      </c>
      <c r="V31" s="86">
        <v>28</v>
      </c>
      <c r="W31" s="86">
        <v>2.5</v>
      </c>
      <c r="X31" s="86" t="s">
        <v>37</v>
      </c>
      <c r="Y31" s="115" t="s">
        <v>37</v>
      </c>
    </row>
    <row r="32" spans="1:25" ht="18.75" customHeight="1">
      <c r="A32" s="113">
        <v>46293</v>
      </c>
      <c r="B32" s="108">
        <v>0.44</v>
      </c>
      <c r="C32" s="108">
        <v>0.38</v>
      </c>
      <c r="D32" s="86">
        <v>30</v>
      </c>
      <c r="E32" s="86">
        <v>30.2</v>
      </c>
      <c r="F32" s="86">
        <v>7.4</v>
      </c>
      <c r="G32" s="86">
        <v>7.6</v>
      </c>
      <c r="H32" s="104">
        <v>160</v>
      </c>
      <c r="I32" s="104">
        <v>6</v>
      </c>
      <c r="J32" s="104">
        <v>488</v>
      </c>
      <c r="K32" s="104">
        <v>38</v>
      </c>
      <c r="L32" s="104">
        <v>272</v>
      </c>
      <c r="M32" s="104">
        <v>8</v>
      </c>
      <c r="N32" s="86">
        <v>3</v>
      </c>
      <c r="O32" s="86">
        <v>1</v>
      </c>
      <c r="P32" s="104">
        <v>320</v>
      </c>
      <c r="Q32" s="104">
        <v>250</v>
      </c>
      <c r="R32" s="90" t="s">
        <v>19</v>
      </c>
      <c r="S32" s="86">
        <v>1.4</v>
      </c>
      <c r="T32" s="86">
        <v>38.200000000000003</v>
      </c>
      <c r="U32" s="86">
        <v>8.8000000000000007</v>
      </c>
      <c r="V32" s="86">
        <v>28.4</v>
      </c>
      <c r="W32" s="86">
        <v>2</v>
      </c>
      <c r="X32" s="118">
        <v>10.4</v>
      </c>
      <c r="Y32" s="115">
        <v>3.2</v>
      </c>
    </row>
    <row r="33" spans="1:30" ht="18.75" customHeight="1">
      <c r="A33" s="113">
        <v>46294</v>
      </c>
      <c r="B33" s="108">
        <v>0.51</v>
      </c>
      <c r="C33" s="108">
        <v>0.46</v>
      </c>
      <c r="D33" s="86">
        <v>30.2</v>
      </c>
      <c r="E33" s="86">
        <v>30.4</v>
      </c>
      <c r="F33" s="86">
        <v>7.3</v>
      </c>
      <c r="G33" s="86">
        <v>7.5</v>
      </c>
      <c r="H33" s="104">
        <v>155</v>
      </c>
      <c r="I33" s="104">
        <v>6</v>
      </c>
      <c r="J33" s="103">
        <v>484</v>
      </c>
      <c r="K33" s="103">
        <v>34</v>
      </c>
      <c r="L33" s="104">
        <v>290</v>
      </c>
      <c r="M33" s="104">
        <v>7</v>
      </c>
      <c r="N33" s="86">
        <v>3.5</v>
      </c>
      <c r="O33" s="86">
        <v>0.8</v>
      </c>
      <c r="P33" s="104">
        <v>330</v>
      </c>
      <c r="Q33" s="104">
        <v>270</v>
      </c>
      <c r="R33" s="90" t="s">
        <v>19</v>
      </c>
      <c r="S33" s="86">
        <v>1.5</v>
      </c>
      <c r="T33" s="86">
        <v>38</v>
      </c>
      <c r="U33" s="86">
        <v>8.4</v>
      </c>
      <c r="V33" s="86">
        <v>28.6</v>
      </c>
      <c r="W33" s="86">
        <v>2.5</v>
      </c>
      <c r="X33" s="86" t="s">
        <v>37</v>
      </c>
      <c r="Y33" s="115" t="s">
        <v>37</v>
      </c>
      <c r="Z33" s="161"/>
      <c r="AA33" s="161"/>
      <c r="AB33" s="161"/>
      <c r="AC33" s="161"/>
      <c r="AD33" s="161"/>
    </row>
    <row r="34" spans="1:30" ht="18.75" customHeight="1">
      <c r="A34" s="113">
        <v>46295</v>
      </c>
      <c r="B34" s="108">
        <v>0.55000000000000004</v>
      </c>
      <c r="C34" s="108">
        <v>0.49</v>
      </c>
      <c r="D34" s="86">
        <v>30.4</v>
      </c>
      <c r="E34" s="86">
        <v>30.6</v>
      </c>
      <c r="F34" s="86">
        <v>7.2</v>
      </c>
      <c r="G34" s="86">
        <v>7.4</v>
      </c>
      <c r="H34" s="104">
        <v>150</v>
      </c>
      <c r="I34" s="104">
        <v>5</v>
      </c>
      <c r="J34" s="103">
        <v>480</v>
      </c>
      <c r="K34" s="103">
        <v>36</v>
      </c>
      <c r="L34" s="104">
        <v>296</v>
      </c>
      <c r="M34" s="104">
        <v>6</v>
      </c>
      <c r="N34" s="86">
        <v>3</v>
      </c>
      <c r="O34" s="86">
        <v>0.6</v>
      </c>
      <c r="P34" s="104">
        <v>310</v>
      </c>
      <c r="Q34" s="104">
        <v>280</v>
      </c>
      <c r="R34" s="90" t="s">
        <v>19</v>
      </c>
      <c r="S34" s="86">
        <v>1.7</v>
      </c>
      <c r="T34" s="86">
        <v>38.6</v>
      </c>
      <c r="U34" s="86">
        <v>8.6</v>
      </c>
      <c r="V34" s="86">
        <v>28.2</v>
      </c>
      <c r="W34" s="86">
        <v>2.4</v>
      </c>
      <c r="X34" s="86">
        <v>10.199999999999999</v>
      </c>
      <c r="Y34" s="115">
        <v>3.4</v>
      </c>
      <c r="Z34" s="161"/>
      <c r="AA34" s="161"/>
      <c r="AB34" s="161"/>
      <c r="AC34" s="161"/>
      <c r="AD34" s="161"/>
    </row>
    <row r="35" spans="1:30" ht="18.75" customHeight="1">
      <c r="A35" s="120" t="s">
        <v>21</v>
      </c>
      <c r="B35" s="121">
        <f t="shared" ref="B35:Y35" si="0">AVERAGE(B2:B34)</f>
        <v>0.72240000000000015</v>
      </c>
      <c r="C35" s="121">
        <f t="shared" si="0"/>
        <v>0.64946666666666675</v>
      </c>
      <c r="D35" s="122">
        <f t="shared" si="0"/>
        <v>30.193333333333332</v>
      </c>
      <c r="E35" s="122">
        <f t="shared" si="0"/>
        <v>30.393333333333334</v>
      </c>
      <c r="F35" s="122">
        <f t="shared" si="0"/>
        <v>7.2933333333333348</v>
      </c>
      <c r="G35" s="122">
        <f t="shared" si="0"/>
        <v>7.4933333333333332</v>
      </c>
      <c r="H35" s="123">
        <f t="shared" si="0"/>
        <v>151.33333333333334</v>
      </c>
      <c r="I35" s="123">
        <f t="shared" si="0"/>
        <v>5.0999999999999996</v>
      </c>
      <c r="J35" s="123">
        <f t="shared" si="0"/>
        <v>478.26666666666665</v>
      </c>
      <c r="K35" s="123">
        <f t="shared" si="0"/>
        <v>42.4</v>
      </c>
      <c r="L35" s="123">
        <f t="shared" si="0"/>
        <v>275.2</v>
      </c>
      <c r="M35" s="123">
        <f t="shared" si="0"/>
        <v>6.2666666666666666</v>
      </c>
      <c r="N35" s="122">
        <f t="shared" si="0"/>
        <v>4.0233333333333343</v>
      </c>
      <c r="O35" s="122">
        <f t="shared" si="0"/>
        <v>1.1333333333333335</v>
      </c>
      <c r="P35" s="123">
        <f t="shared" si="0"/>
        <v>308.33333333333331</v>
      </c>
      <c r="Q35" s="123">
        <f t="shared" si="0"/>
        <v>240.33333333333334</v>
      </c>
      <c r="R35" s="121" t="e">
        <f t="shared" si="0"/>
        <v>#DIV/0!</v>
      </c>
      <c r="S35" s="122">
        <f t="shared" si="0"/>
        <v>1.54</v>
      </c>
      <c r="T35" s="122">
        <f t="shared" si="0"/>
        <v>40.059999999999988</v>
      </c>
      <c r="U35" s="122">
        <f t="shared" si="0"/>
        <v>8.7533333333333339</v>
      </c>
      <c r="V35" s="122">
        <f t="shared" si="0"/>
        <v>30.343333333333337</v>
      </c>
      <c r="W35" s="122">
        <f t="shared" si="0"/>
        <v>2.913333333333334</v>
      </c>
      <c r="X35" s="122">
        <f t="shared" si="0"/>
        <v>10.586666666666666</v>
      </c>
      <c r="Y35" s="124">
        <f t="shared" si="0"/>
        <v>3.2</v>
      </c>
      <c r="Z35" s="161"/>
      <c r="AA35" s="161"/>
      <c r="AB35" s="161"/>
      <c r="AC35" s="161"/>
      <c r="AD35" s="161"/>
    </row>
    <row r="36" spans="1:30" ht="15" customHeight="1">
      <c r="A36" s="161"/>
      <c r="B36" s="161"/>
      <c r="C36" s="88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28"/>
      <c r="Q36" s="128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</row>
    <row r="41" spans="1:30" ht="14.25">
      <c r="A41" s="161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</row>
    <row r="42" spans="1:30" ht="21" customHeight="1">
      <c r="A42" s="161"/>
      <c r="B42" s="88" t="s">
        <v>22</v>
      </c>
      <c r="C42" s="161"/>
      <c r="D42" s="88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88"/>
      <c r="U42" s="161"/>
      <c r="V42" s="88" t="s">
        <v>69</v>
      </c>
      <c r="W42" s="161"/>
      <c r="X42" s="161"/>
      <c r="Y42" s="161"/>
      <c r="Z42" s="161"/>
      <c r="AA42" s="161"/>
      <c r="AB42" s="161"/>
      <c r="AC42" s="161"/>
      <c r="AD42" s="161"/>
    </row>
    <row r="43" spans="1:30" ht="15" customHeight="1">
      <c r="A43" s="161"/>
      <c r="B43" s="161"/>
      <c r="C43" s="161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</row>
  </sheetData>
  <mergeCells count="14">
    <mergeCell ref="R3:S3"/>
    <mergeCell ref="T3:U3"/>
    <mergeCell ref="V3:W3"/>
    <mergeCell ref="X3:Y3"/>
    <mergeCell ref="A1:Y1"/>
    <mergeCell ref="A2:Y2"/>
    <mergeCell ref="B3:C3"/>
    <mergeCell ref="D3:E3"/>
    <mergeCell ref="F3:G3"/>
    <mergeCell ref="H3:I3"/>
    <mergeCell ref="J3:K3"/>
    <mergeCell ref="L3:M3"/>
    <mergeCell ref="N3:O3"/>
    <mergeCell ref="P3:Q3"/>
  </mergeCells>
  <printOptions horizontalCentered="1"/>
  <pageMargins left="0.41299212598425195" right="0.41281247611038918" top="0.35089060469383082" bottom="0.49537497133246705" header="0" footer="0"/>
  <pageSetup paperSize="9" scale="64" fitToHeight="0" pageOrder="overThenDown" orientation="landscape" cellComments="atEnd"/>
  <drawing r:id="rId1"/>
</worksheet>
</file>